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SAIT\Data Analytics\✱415\Final Project SQL Exports\"/>
    </mc:Choice>
  </mc:AlternateContent>
  <xr:revisionPtr revIDLastSave="0" documentId="13_ncr:1_{8E31BBAE-63E2-4EA5-A8F2-21E75653741E}" xr6:coauthVersionLast="47" xr6:coauthVersionMax="47" xr10:uidLastSave="{00000000-0000-0000-0000-000000000000}"/>
  <bookViews>
    <workbookView xWindow="-98" yWindow="-98" windowWidth="22245" windowHeight="13321" xr2:uid="{773F9892-CC9D-4E8D-8185-BE82C1695501}"/>
  </bookViews>
  <sheets>
    <sheet name="Forecast &amp; E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I4" i="2"/>
  <c r="F145" i="2"/>
  <c r="F149" i="2"/>
  <c r="F153" i="2"/>
  <c r="F148" i="2"/>
  <c r="F152" i="2"/>
  <c r="F147" i="2"/>
  <c r="F151" i="2"/>
  <c r="F146" i="2"/>
  <c r="F150" i="2"/>
  <c r="F154" i="2"/>
</calcChain>
</file>

<file path=xl/sharedStrings.xml><?xml version="1.0" encoding="utf-8"?>
<sst xmlns="http://schemas.openxmlformats.org/spreadsheetml/2006/main" count="7" uniqueCount="7">
  <si>
    <t>Seasonality</t>
  </si>
  <si>
    <t>WFA_ETS</t>
  </si>
  <si>
    <t>4MAF</t>
  </si>
  <si>
    <t>WSF</t>
  </si>
  <si>
    <t>4MA</t>
  </si>
  <si>
    <t>Total_Weekly_Sales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</si>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</sst>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6587"/>
        <bgColor indexed="64"/>
      </patternFill>
    </fill>
    <fill>
      <patternFill patternType="solid">
        <fgColor rgb="FFEBED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&amp; ETS'!$B$1</c:f>
              <c:strCache>
                <c:ptCount val="1"/>
                <c:pt idx="0">
                  <c:v>Total_Weekly_Sales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'Forecast &amp; ETS'!$A$2:$A$154</c15:sqref>
                  </c15:fullRef>
                </c:ext>
              </c:extLst>
              <c:f>'Forecast &amp; ETS'!$A$113:$A$154</c:f>
              <c:numCache>
                <c:formatCode>m/d/yyyy</c:formatCode>
                <c:ptCount val="42"/>
                <c:pt idx="0">
                  <c:v>40991</c:v>
                </c:pt>
                <c:pt idx="1">
                  <c:v>40998</c:v>
                </c:pt>
                <c:pt idx="2">
                  <c:v>41005</c:v>
                </c:pt>
                <c:pt idx="3">
                  <c:v>41012</c:v>
                </c:pt>
                <c:pt idx="4">
                  <c:v>41019</c:v>
                </c:pt>
                <c:pt idx="5">
                  <c:v>41026</c:v>
                </c:pt>
                <c:pt idx="6">
                  <c:v>41033</c:v>
                </c:pt>
                <c:pt idx="7">
                  <c:v>41040</c:v>
                </c:pt>
                <c:pt idx="8">
                  <c:v>41047</c:v>
                </c:pt>
                <c:pt idx="9">
                  <c:v>41054</c:v>
                </c:pt>
                <c:pt idx="10">
                  <c:v>41061</c:v>
                </c:pt>
                <c:pt idx="11">
                  <c:v>41068</c:v>
                </c:pt>
                <c:pt idx="12">
                  <c:v>41075</c:v>
                </c:pt>
                <c:pt idx="13">
                  <c:v>41082</c:v>
                </c:pt>
                <c:pt idx="14">
                  <c:v>41089</c:v>
                </c:pt>
                <c:pt idx="15">
                  <c:v>41096</c:v>
                </c:pt>
                <c:pt idx="16">
                  <c:v>41103</c:v>
                </c:pt>
                <c:pt idx="17">
                  <c:v>41110</c:v>
                </c:pt>
                <c:pt idx="18">
                  <c:v>41117</c:v>
                </c:pt>
                <c:pt idx="19">
                  <c:v>41124</c:v>
                </c:pt>
                <c:pt idx="20">
                  <c:v>41131</c:v>
                </c:pt>
                <c:pt idx="21">
                  <c:v>41138</c:v>
                </c:pt>
                <c:pt idx="22">
                  <c:v>41145</c:v>
                </c:pt>
                <c:pt idx="23">
                  <c:v>41152</c:v>
                </c:pt>
                <c:pt idx="24">
                  <c:v>41159</c:v>
                </c:pt>
                <c:pt idx="25">
                  <c:v>41166</c:v>
                </c:pt>
                <c:pt idx="26">
                  <c:v>41173</c:v>
                </c:pt>
                <c:pt idx="27">
                  <c:v>41180</c:v>
                </c:pt>
                <c:pt idx="28">
                  <c:v>41187</c:v>
                </c:pt>
                <c:pt idx="29">
                  <c:v>41194</c:v>
                </c:pt>
                <c:pt idx="30">
                  <c:v>41201</c:v>
                </c:pt>
                <c:pt idx="31">
                  <c:v>41208</c:v>
                </c:pt>
                <c:pt idx="32">
                  <c:v>41215</c:v>
                </c:pt>
                <c:pt idx="33">
                  <c:v>41222</c:v>
                </c:pt>
                <c:pt idx="34">
                  <c:v>41229</c:v>
                </c:pt>
                <c:pt idx="35">
                  <c:v>41236</c:v>
                </c:pt>
                <c:pt idx="36">
                  <c:v>41243</c:v>
                </c:pt>
                <c:pt idx="37">
                  <c:v>41250</c:v>
                </c:pt>
                <c:pt idx="38">
                  <c:v>41257</c:v>
                </c:pt>
                <c:pt idx="39">
                  <c:v>41264</c:v>
                </c:pt>
                <c:pt idx="40">
                  <c:v>41271</c:v>
                </c:pt>
                <c:pt idx="41">
                  <c:v>41278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'Forecast &amp; ETS'!$B$2:$B$154</c15:sqref>
                  </c15:fullRef>
                </c:ext>
              </c:extLst>
              <c:f>'Forecast &amp; ETS'!$B$113:$B$154</c:f>
              <c:numCache>
                <c:formatCode>General</c:formatCode>
                <c:ptCount val="42"/>
                <c:pt idx="0">
                  <c:v>44993794.65625</c:v>
                </c:pt>
                <c:pt idx="1">
                  <c:v>45272862.078125</c:v>
                </c:pt>
                <c:pt idx="2">
                  <c:v>53502316.0625</c:v>
                </c:pt>
                <c:pt idx="3">
                  <c:v>46629261.90625</c:v>
                </c:pt>
                <c:pt idx="4">
                  <c:v>45072530.046875</c:v>
                </c:pt>
                <c:pt idx="5">
                  <c:v>43716798.875</c:v>
                </c:pt>
                <c:pt idx="6">
                  <c:v>47124198</c:v>
                </c:pt>
                <c:pt idx="7">
                  <c:v>46925878.875</c:v>
                </c:pt>
                <c:pt idx="8">
                  <c:v>46823939.15625</c:v>
                </c:pt>
                <c:pt idx="9">
                  <c:v>47892463.359375</c:v>
                </c:pt>
                <c:pt idx="10">
                  <c:v>48281649.75</c:v>
                </c:pt>
                <c:pt idx="11">
                  <c:v>49651172.34375</c:v>
                </c:pt>
                <c:pt idx="12">
                  <c:v>48412110.5</c:v>
                </c:pt>
                <c:pt idx="13">
                  <c:v>47668284.890625</c:v>
                </c:pt>
                <c:pt idx="14">
                  <c:v>46597112.28125</c:v>
                </c:pt>
                <c:pt idx="15">
                  <c:v>51253021.34375</c:v>
                </c:pt>
                <c:pt idx="16">
                  <c:v>46099731.6875</c:v>
                </c:pt>
                <c:pt idx="17">
                  <c:v>46059543.359375</c:v>
                </c:pt>
                <c:pt idx="18">
                  <c:v>44097154.71875</c:v>
                </c:pt>
                <c:pt idx="19">
                  <c:v>47485899.90625</c:v>
                </c:pt>
                <c:pt idx="20">
                  <c:v>47403451.1875</c:v>
                </c:pt>
                <c:pt idx="21">
                  <c:v>47354451.90625</c:v>
                </c:pt>
                <c:pt idx="22">
                  <c:v>47447323.5625</c:v>
                </c:pt>
                <c:pt idx="23">
                  <c:v>47159639.25</c:v>
                </c:pt>
                <c:pt idx="24">
                  <c:v>48330059.53125</c:v>
                </c:pt>
                <c:pt idx="25">
                  <c:v>44226038.53125</c:v>
                </c:pt>
                <c:pt idx="26">
                  <c:v>44354546.734375</c:v>
                </c:pt>
                <c:pt idx="27">
                  <c:v>43734899.484375</c:v>
                </c:pt>
                <c:pt idx="28">
                  <c:v>47566639.40625</c:v>
                </c:pt>
                <c:pt idx="29">
                  <c:v>46128514.0625</c:v>
                </c:pt>
                <c:pt idx="30">
                  <c:v>45122410.59375</c:v>
                </c:pt>
                <c:pt idx="31">
                  <c:v>45544116.5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4-48DA-AB23-FD7671D11301}"/>
            </c:ext>
          </c:extLst>
        </c:ser>
        <c:ser>
          <c:idx val="1"/>
          <c:order val="1"/>
          <c:tx>
            <c:strRef>
              <c:f>'Forecast &amp; ETS'!$C$1</c:f>
              <c:strCache>
                <c:ptCount val="1"/>
                <c:pt idx="0">
                  <c:v>4MA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'Forecast &amp; ETS'!$A$2:$A$154</c15:sqref>
                  </c15:fullRef>
                </c:ext>
              </c:extLst>
              <c:f>'Forecast &amp; ETS'!$A$113:$A$154</c:f>
              <c:numCache>
                <c:formatCode>m/d/yyyy</c:formatCode>
                <c:ptCount val="42"/>
                <c:pt idx="0">
                  <c:v>40991</c:v>
                </c:pt>
                <c:pt idx="1">
                  <c:v>40998</c:v>
                </c:pt>
                <c:pt idx="2">
                  <c:v>41005</c:v>
                </c:pt>
                <c:pt idx="3">
                  <c:v>41012</c:v>
                </c:pt>
                <c:pt idx="4">
                  <c:v>41019</c:v>
                </c:pt>
                <c:pt idx="5">
                  <c:v>41026</c:v>
                </c:pt>
                <c:pt idx="6">
                  <c:v>41033</c:v>
                </c:pt>
                <c:pt idx="7">
                  <c:v>41040</c:v>
                </c:pt>
                <c:pt idx="8">
                  <c:v>41047</c:v>
                </c:pt>
                <c:pt idx="9">
                  <c:v>41054</c:v>
                </c:pt>
                <c:pt idx="10">
                  <c:v>41061</c:v>
                </c:pt>
                <c:pt idx="11">
                  <c:v>41068</c:v>
                </c:pt>
                <c:pt idx="12">
                  <c:v>41075</c:v>
                </c:pt>
                <c:pt idx="13">
                  <c:v>41082</c:v>
                </c:pt>
                <c:pt idx="14">
                  <c:v>41089</c:v>
                </c:pt>
                <c:pt idx="15">
                  <c:v>41096</c:v>
                </c:pt>
                <c:pt idx="16">
                  <c:v>41103</c:v>
                </c:pt>
                <c:pt idx="17">
                  <c:v>41110</c:v>
                </c:pt>
                <c:pt idx="18">
                  <c:v>41117</c:v>
                </c:pt>
                <c:pt idx="19">
                  <c:v>41124</c:v>
                </c:pt>
                <c:pt idx="20">
                  <c:v>41131</c:v>
                </c:pt>
                <c:pt idx="21">
                  <c:v>41138</c:v>
                </c:pt>
                <c:pt idx="22">
                  <c:v>41145</c:v>
                </c:pt>
                <c:pt idx="23">
                  <c:v>41152</c:v>
                </c:pt>
                <c:pt idx="24">
                  <c:v>41159</c:v>
                </c:pt>
                <c:pt idx="25">
                  <c:v>41166</c:v>
                </c:pt>
                <c:pt idx="26">
                  <c:v>41173</c:v>
                </c:pt>
                <c:pt idx="27">
                  <c:v>41180</c:v>
                </c:pt>
                <c:pt idx="28">
                  <c:v>41187</c:v>
                </c:pt>
                <c:pt idx="29">
                  <c:v>41194</c:v>
                </c:pt>
                <c:pt idx="30">
                  <c:v>41201</c:v>
                </c:pt>
                <c:pt idx="31">
                  <c:v>41208</c:v>
                </c:pt>
                <c:pt idx="32">
                  <c:v>41215</c:v>
                </c:pt>
                <c:pt idx="33">
                  <c:v>41222</c:v>
                </c:pt>
                <c:pt idx="34">
                  <c:v>41229</c:v>
                </c:pt>
                <c:pt idx="35">
                  <c:v>41236</c:v>
                </c:pt>
                <c:pt idx="36">
                  <c:v>41243</c:v>
                </c:pt>
                <c:pt idx="37">
                  <c:v>41250</c:v>
                </c:pt>
                <c:pt idx="38">
                  <c:v>41257</c:v>
                </c:pt>
                <c:pt idx="39">
                  <c:v>41264</c:v>
                </c:pt>
                <c:pt idx="40">
                  <c:v>41271</c:v>
                </c:pt>
                <c:pt idx="41">
                  <c:v>41278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'Forecast &amp; ETS'!$C$2:$C$154</c15:sqref>
                  </c15:fullRef>
                </c:ext>
              </c:extLst>
              <c:f>'Forecast &amp; ETS'!$C$113:$C$154</c:f>
              <c:numCache>
                <c:formatCode>General</c:formatCode>
                <c:ptCount val="42"/>
                <c:pt idx="0">
                  <c:v>46559197.1796875</c:v>
                </c:pt>
                <c:pt idx="1">
                  <c:v>46162153.91796875</c:v>
                </c:pt>
                <c:pt idx="2">
                  <c:v>47667619.41015625</c:v>
                </c:pt>
                <c:pt idx="3">
                  <c:v>47599558.67578125</c:v>
                </c:pt>
                <c:pt idx="4">
                  <c:v>47619242.5234375</c:v>
                </c:pt>
                <c:pt idx="5">
                  <c:v>47230226.72265625</c:v>
                </c:pt>
                <c:pt idx="6">
                  <c:v>45635697.20703125</c:v>
                </c:pt>
                <c:pt idx="7">
                  <c:v>45709851.44921875</c:v>
                </c:pt>
                <c:pt idx="8">
                  <c:v>46147703.7265625</c:v>
                </c:pt>
                <c:pt idx="9">
                  <c:v>47191619.84765625</c:v>
                </c:pt>
                <c:pt idx="10">
                  <c:v>47480982.78515625</c:v>
                </c:pt>
                <c:pt idx="11">
                  <c:v>48162306.15234375</c:v>
                </c:pt>
                <c:pt idx="12">
                  <c:v>48559348.98828125</c:v>
                </c:pt>
                <c:pt idx="13">
                  <c:v>48503304.37109375</c:v>
                </c:pt>
                <c:pt idx="14">
                  <c:v>48082170.00390625</c:v>
                </c:pt>
                <c:pt idx="15">
                  <c:v>48482632.25390625</c:v>
                </c:pt>
                <c:pt idx="16">
                  <c:v>47904537.55078125</c:v>
                </c:pt>
                <c:pt idx="17">
                  <c:v>47502352.16796875</c:v>
                </c:pt>
                <c:pt idx="18">
                  <c:v>46877362.77734375</c:v>
                </c:pt>
                <c:pt idx="19">
                  <c:v>45935582.41796875</c:v>
                </c:pt>
                <c:pt idx="20">
                  <c:v>46261512.29296875</c:v>
                </c:pt>
                <c:pt idx="21">
                  <c:v>46585239.4296875</c:v>
                </c:pt>
                <c:pt idx="22">
                  <c:v>47422781.640625</c:v>
                </c:pt>
                <c:pt idx="23">
                  <c:v>47341216.4765625</c:v>
                </c:pt>
                <c:pt idx="24">
                  <c:v>47572868.5625</c:v>
                </c:pt>
                <c:pt idx="25">
                  <c:v>46790765.21875</c:v>
                </c:pt>
                <c:pt idx="26">
                  <c:v>46017571.01171875</c:v>
                </c:pt>
                <c:pt idx="27">
                  <c:v>45161386.0703125</c:v>
                </c:pt>
                <c:pt idx="28">
                  <c:v>44970531.0390625</c:v>
                </c:pt>
                <c:pt idx="29">
                  <c:v>45446149.921875</c:v>
                </c:pt>
                <c:pt idx="30">
                  <c:v>45638115.88671875</c:v>
                </c:pt>
                <c:pt idx="31">
                  <c:v>46090420.140625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4-48DA-AB23-FD7671D11301}"/>
            </c:ext>
          </c:extLst>
        </c:ser>
        <c:ser>
          <c:idx val="2"/>
          <c:order val="2"/>
          <c:tx>
            <c:v>WSF</c:v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'Forecast &amp; ETS'!$A$2:$A$154</c15:sqref>
                  </c15:fullRef>
                </c:ext>
              </c:extLst>
              <c:f>'Forecast &amp; ETS'!$A$113:$A$154</c:f>
              <c:numCache>
                <c:formatCode>m/d/yyyy</c:formatCode>
                <c:ptCount val="42"/>
                <c:pt idx="0">
                  <c:v>40991</c:v>
                </c:pt>
                <c:pt idx="1">
                  <c:v>40998</c:v>
                </c:pt>
                <c:pt idx="2">
                  <c:v>41005</c:v>
                </c:pt>
                <c:pt idx="3">
                  <c:v>41012</c:v>
                </c:pt>
                <c:pt idx="4">
                  <c:v>41019</c:v>
                </c:pt>
                <c:pt idx="5">
                  <c:v>41026</c:v>
                </c:pt>
                <c:pt idx="6">
                  <c:v>41033</c:v>
                </c:pt>
                <c:pt idx="7">
                  <c:v>41040</c:v>
                </c:pt>
                <c:pt idx="8">
                  <c:v>41047</c:v>
                </c:pt>
                <c:pt idx="9">
                  <c:v>41054</c:v>
                </c:pt>
                <c:pt idx="10">
                  <c:v>41061</c:v>
                </c:pt>
                <c:pt idx="11">
                  <c:v>41068</c:v>
                </c:pt>
                <c:pt idx="12">
                  <c:v>41075</c:v>
                </c:pt>
                <c:pt idx="13">
                  <c:v>41082</c:v>
                </c:pt>
                <c:pt idx="14">
                  <c:v>41089</c:v>
                </c:pt>
                <c:pt idx="15">
                  <c:v>41096</c:v>
                </c:pt>
                <c:pt idx="16">
                  <c:v>41103</c:v>
                </c:pt>
                <c:pt idx="17">
                  <c:v>41110</c:v>
                </c:pt>
                <c:pt idx="18">
                  <c:v>41117</c:v>
                </c:pt>
                <c:pt idx="19">
                  <c:v>41124</c:v>
                </c:pt>
                <c:pt idx="20">
                  <c:v>41131</c:v>
                </c:pt>
                <c:pt idx="21">
                  <c:v>41138</c:v>
                </c:pt>
                <c:pt idx="22">
                  <c:v>41145</c:v>
                </c:pt>
                <c:pt idx="23">
                  <c:v>41152</c:v>
                </c:pt>
                <c:pt idx="24">
                  <c:v>41159</c:v>
                </c:pt>
                <c:pt idx="25">
                  <c:v>41166</c:v>
                </c:pt>
                <c:pt idx="26">
                  <c:v>41173</c:v>
                </c:pt>
                <c:pt idx="27">
                  <c:v>41180</c:v>
                </c:pt>
                <c:pt idx="28">
                  <c:v>41187</c:v>
                </c:pt>
                <c:pt idx="29">
                  <c:v>41194</c:v>
                </c:pt>
                <c:pt idx="30">
                  <c:v>41201</c:v>
                </c:pt>
                <c:pt idx="31">
                  <c:v>41208</c:v>
                </c:pt>
                <c:pt idx="32">
                  <c:v>41215</c:v>
                </c:pt>
                <c:pt idx="33">
                  <c:v>41222</c:v>
                </c:pt>
                <c:pt idx="34">
                  <c:v>41229</c:v>
                </c:pt>
                <c:pt idx="35">
                  <c:v>41236</c:v>
                </c:pt>
                <c:pt idx="36">
                  <c:v>41243</c:v>
                </c:pt>
                <c:pt idx="37">
                  <c:v>41250</c:v>
                </c:pt>
                <c:pt idx="38">
                  <c:v>41257</c:v>
                </c:pt>
                <c:pt idx="39">
                  <c:v>41264</c:v>
                </c:pt>
                <c:pt idx="40">
                  <c:v>41271</c:v>
                </c:pt>
                <c:pt idx="41">
                  <c:v>41278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'Forecast &amp; ETS'!$D$2:$D$154</c15:sqref>
                  </c15:fullRef>
                </c:ext>
              </c:extLst>
              <c:f>'Forecast &amp; ETS'!$D$113:$D$154</c:f>
              <c:numCache>
                <c:formatCode>General</c:formatCode>
                <c:ptCount val="42"/>
                <c:pt idx="32">
                  <c:v>47421229.356601804</c:v>
                </c:pt>
                <c:pt idx="33">
                  <c:v>47425504.49350664</c:v>
                </c:pt>
                <c:pt idx="34">
                  <c:v>47429779.630411476</c:v>
                </c:pt>
                <c:pt idx="35">
                  <c:v>47434054.767316312</c:v>
                </c:pt>
                <c:pt idx="36">
                  <c:v>47438329.904221147</c:v>
                </c:pt>
                <c:pt idx="37">
                  <c:v>47442605.041125983</c:v>
                </c:pt>
                <c:pt idx="38">
                  <c:v>47446880.178030819</c:v>
                </c:pt>
                <c:pt idx="39">
                  <c:v>47451155.314935654</c:v>
                </c:pt>
                <c:pt idx="40">
                  <c:v>47455430.45184049</c:v>
                </c:pt>
                <c:pt idx="41">
                  <c:v>47459705.588745326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44-48DA-AB23-FD7671D11301}"/>
            </c:ext>
          </c:extLst>
        </c:ser>
        <c:ser>
          <c:idx val="3"/>
          <c:order val="3"/>
          <c:tx>
            <c:v>4MAF</c:v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'Forecast &amp; ETS'!$A$2:$A$154</c15:sqref>
                  </c15:fullRef>
                </c:ext>
              </c:extLst>
              <c:f>'Forecast &amp; ETS'!$A$113:$A$154</c:f>
              <c:numCache>
                <c:formatCode>m/d/yyyy</c:formatCode>
                <c:ptCount val="42"/>
                <c:pt idx="0">
                  <c:v>40991</c:v>
                </c:pt>
                <c:pt idx="1">
                  <c:v>40998</c:v>
                </c:pt>
                <c:pt idx="2">
                  <c:v>41005</c:v>
                </c:pt>
                <c:pt idx="3">
                  <c:v>41012</c:v>
                </c:pt>
                <c:pt idx="4">
                  <c:v>41019</c:v>
                </c:pt>
                <c:pt idx="5">
                  <c:v>41026</c:v>
                </c:pt>
                <c:pt idx="6">
                  <c:v>41033</c:v>
                </c:pt>
                <c:pt idx="7">
                  <c:v>41040</c:v>
                </c:pt>
                <c:pt idx="8">
                  <c:v>41047</c:v>
                </c:pt>
                <c:pt idx="9">
                  <c:v>41054</c:v>
                </c:pt>
                <c:pt idx="10">
                  <c:v>41061</c:v>
                </c:pt>
                <c:pt idx="11">
                  <c:v>41068</c:v>
                </c:pt>
                <c:pt idx="12">
                  <c:v>41075</c:v>
                </c:pt>
                <c:pt idx="13">
                  <c:v>41082</c:v>
                </c:pt>
                <c:pt idx="14">
                  <c:v>41089</c:v>
                </c:pt>
                <c:pt idx="15">
                  <c:v>41096</c:v>
                </c:pt>
                <c:pt idx="16">
                  <c:v>41103</c:v>
                </c:pt>
                <c:pt idx="17">
                  <c:v>41110</c:v>
                </c:pt>
                <c:pt idx="18">
                  <c:v>41117</c:v>
                </c:pt>
                <c:pt idx="19">
                  <c:v>41124</c:v>
                </c:pt>
                <c:pt idx="20">
                  <c:v>41131</c:v>
                </c:pt>
                <c:pt idx="21">
                  <c:v>41138</c:v>
                </c:pt>
                <c:pt idx="22">
                  <c:v>41145</c:v>
                </c:pt>
                <c:pt idx="23">
                  <c:v>41152</c:v>
                </c:pt>
                <c:pt idx="24">
                  <c:v>41159</c:v>
                </c:pt>
                <c:pt idx="25">
                  <c:v>41166</c:v>
                </c:pt>
                <c:pt idx="26">
                  <c:v>41173</c:v>
                </c:pt>
                <c:pt idx="27">
                  <c:v>41180</c:v>
                </c:pt>
                <c:pt idx="28">
                  <c:v>41187</c:v>
                </c:pt>
                <c:pt idx="29">
                  <c:v>41194</c:v>
                </c:pt>
                <c:pt idx="30">
                  <c:v>41201</c:v>
                </c:pt>
                <c:pt idx="31">
                  <c:v>41208</c:v>
                </c:pt>
                <c:pt idx="32">
                  <c:v>41215</c:v>
                </c:pt>
                <c:pt idx="33">
                  <c:v>41222</c:v>
                </c:pt>
                <c:pt idx="34">
                  <c:v>41229</c:v>
                </c:pt>
                <c:pt idx="35">
                  <c:v>41236</c:v>
                </c:pt>
                <c:pt idx="36">
                  <c:v>41243</c:v>
                </c:pt>
                <c:pt idx="37">
                  <c:v>41250</c:v>
                </c:pt>
                <c:pt idx="38">
                  <c:v>41257</c:v>
                </c:pt>
                <c:pt idx="39">
                  <c:v>41264</c:v>
                </c:pt>
                <c:pt idx="40">
                  <c:v>41271</c:v>
                </c:pt>
                <c:pt idx="41">
                  <c:v>41278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'Forecast &amp; ETS'!$E$2:$E$154</c15:sqref>
                  </c15:fullRef>
                </c:ext>
              </c:extLst>
              <c:f>'Forecast &amp; ETS'!$E$113:$E$154</c:f>
              <c:numCache>
                <c:formatCode>General</c:formatCode>
                <c:ptCount val="42"/>
                <c:pt idx="32">
                  <c:v>47547721.550324388</c:v>
                </c:pt>
                <c:pt idx="33">
                  <c:v>47553928.651893072</c:v>
                </c:pt>
                <c:pt idx="34">
                  <c:v>47560135.753461756</c:v>
                </c:pt>
                <c:pt idx="35">
                  <c:v>47566342.85503044</c:v>
                </c:pt>
                <c:pt idx="36">
                  <c:v>47572549.956599124</c:v>
                </c:pt>
                <c:pt idx="37">
                  <c:v>47578757.058167808</c:v>
                </c:pt>
                <c:pt idx="38">
                  <c:v>47584964.159736492</c:v>
                </c:pt>
                <c:pt idx="39">
                  <c:v>47591171.261305176</c:v>
                </c:pt>
                <c:pt idx="40">
                  <c:v>47597378.36287386</c:v>
                </c:pt>
                <c:pt idx="41">
                  <c:v>47603585.464442544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44-48DA-AB23-FD7671D11301}"/>
            </c:ext>
          </c:extLst>
        </c:ser>
        <c:ser>
          <c:idx val="4"/>
          <c:order val="4"/>
          <c:tx>
            <c:v>WFA_ETS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'Forecast &amp; ETS'!$A$2:$A$154</c15:sqref>
                  </c15:fullRef>
                </c:ext>
              </c:extLst>
              <c:f>'Forecast &amp; ETS'!$A$113:$A$154</c:f>
              <c:numCache>
                <c:formatCode>m/d/yyyy</c:formatCode>
                <c:ptCount val="42"/>
                <c:pt idx="0">
                  <c:v>40991</c:v>
                </c:pt>
                <c:pt idx="1">
                  <c:v>40998</c:v>
                </c:pt>
                <c:pt idx="2">
                  <c:v>41005</c:v>
                </c:pt>
                <c:pt idx="3">
                  <c:v>41012</c:v>
                </c:pt>
                <c:pt idx="4">
                  <c:v>41019</c:v>
                </c:pt>
                <c:pt idx="5">
                  <c:v>41026</c:v>
                </c:pt>
                <c:pt idx="6">
                  <c:v>41033</c:v>
                </c:pt>
                <c:pt idx="7">
                  <c:v>41040</c:v>
                </c:pt>
                <c:pt idx="8">
                  <c:v>41047</c:v>
                </c:pt>
                <c:pt idx="9">
                  <c:v>41054</c:v>
                </c:pt>
                <c:pt idx="10">
                  <c:v>41061</c:v>
                </c:pt>
                <c:pt idx="11">
                  <c:v>41068</c:v>
                </c:pt>
                <c:pt idx="12">
                  <c:v>41075</c:v>
                </c:pt>
                <c:pt idx="13">
                  <c:v>41082</c:v>
                </c:pt>
                <c:pt idx="14">
                  <c:v>41089</c:v>
                </c:pt>
                <c:pt idx="15">
                  <c:v>41096</c:v>
                </c:pt>
                <c:pt idx="16">
                  <c:v>41103</c:v>
                </c:pt>
                <c:pt idx="17">
                  <c:v>41110</c:v>
                </c:pt>
                <c:pt idx="18">
                  <c:v>41117</c:v>
                </c:pt>
                <c:pt idx="19">
                  <c:v>41124</c:v>
                </c:pt>
                <c:pt idx="20">
                  <c:v>41131</c:v>
                </c:pt>
                <c:pt idx="21">
                  <c:v>41138</c:v>
                </c:pt>
                <c:pt idx="22">
                  <c:v>41145</c:v>
                </c:pt>
                <c:pt idx="23">
                  <c:v>41152</c:v>
                </c:pt>
                <c:pt idx="24">
                  <c:v>41159</c:v>
                </c:pt>
                <c:pt idx="25">
                  <c:v>41166</c:v>
                </c:pt>
                <c:pt idx="26">
                  <c:v>41173</c:v>
                </c:pt>
                <c:pt idx="27">
                  <c:v>41180</c:v>
                </c:pt>
                <c:pt idx="28">
                  <c:v>41187</c:v>
                </c:pt>
                <c:pt idx="29">
                  <c:v>41194</c:v>
                </c:pt>
                <c:pt idx="30">
                  <c:v>41201</c:v>
                </c:pt>
                <c:pt idx="31">
                  <c:v>41208</c:v>
                </c:pt>
                <c:pt idx="32">
                  <c:v>41215</c:v>
                </c:pt>
                <c:pt idx="33">
                  <c:v>41222</c:v>
                </c:pt>
                <c:pt idx="34">
                  <c:v>41229</c:v>
                </c:pt>
                <c:pt idx="35">
                  <c:v>41236</c:v>
                </c:pt>
                <c:pt idx="36">
                  <c:v>41243</c:v>
                </c:pt>
                <c:pt idx="37">
                  <c:v>41250</c:v>
                </c:pt>
                <c:pt idx="38">
                  <c:v>41257</c:v>
                </c:pt>
                <c:pt idx="39">
                  <c:v>41264</c:v>
                </c:pt>
                <c:pt idx="40">
                  <c:v>41271</c:v>
                </c:pt>
                <c:pt idx="41">
                  <c:v>41278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'Forecast &amp; ETS'!$F$2:$F$154</c15:sqref>
                  </c15:fullRef>
                </c:ext>
              </c:extLst>
              <c:f>'Forecast &amp; ETS'!$F$113:$F$154</c:f>
              <c:numCache>
                <c:formatCode>General</c:formatCode>
                <c:ptCount val="42"/>
                <c:pt idx="32">
                  <c:v>48655113.494381838</c:v>
                </c:pt>
                <c:pt idx="33">
                  <c:v>47346070.167640835</c:v>
                </c:pt>
                <c:pt idx="34">
                  <c:v>47229754.057217889</c:v>
                </c:pt>
                <c:pt idx="35">
                  <c:v>54652552.080201633</c:v>
                </c:pt>
                <c:pt idx="36">
                  <c:v>50632090.88222973</c:v>
                </c:pt>
                <c:pt idx="37">
                  <c:v>48518973.028540395</c:v>
                </c:pt>
                <c:pt idx="38">
                  <c:v>47379656.692856058</c:v>
                </c:pt>
                <c:pt idx="39">
                  <c:v>46223092.380532406</c:v>
                </c:pt>
                <c:pt idx="40">
                  <c:v>49272928.314215139</c:v>
                </c:pt>
                <c:pt idx="41">
                  <c:v>48685557.788455673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44-48DA-AB23-FD7671D11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886271"/>
        <c:axId val="246882431"/>
      </c:lineChart>
      <c:dateAx>
        <c:axId val="24688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82431"/>
        <c:crosses val="autoZero"/>
        <c:auto val="1"/>
        <c:lblOffset val="100"/>
        <c:baseTimeUnit val="days"/>
      </c:dateAx>
      <c:valAx>
        <c:axId val="2468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Weekly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8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&amp; ETS'!$B$1</c:f>
              <c:strCache>
                <c:ptCount val="1"/>
                <c:pt idx="0">
                  <c:v>Total_Weekly_Sales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&amp; ETS'!$A$2:$A$154</c:f>
              <c:numCache>
                <c:formatCode>m/d/yyyy</c:formatCode>
                <c:ptCount val="153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  <c:pt idx="143">
                  <c:v>41215</c:v>
                </c:pt>
                <c:pt idx="144">
                  <c:v>41222</c:v>
                </c:pt>
                <c:pt idx="145">
                  <c:v>41229</c:v>
                </c:pt>
                <c:pt idx="146">
                  <c:v>41236</c:v>
                </c:pt>
                <c:pt idx="147">
                  <c:v>41243</c:v>
                </c:pt>
                <c:pt idx="148">
                  <c:v>41250</c:v>
                </c:pt>
                <c:pt idx="149">
                  <c:v>41257</c:v>
                </c:pt>
                <c:pt idx="150">
                  <c:v>41264</c:v>
                </c:pt>
                <c:pt idx="151">
                  <c:v>41271</c:v>
                </c:pt>
                <c:pt idx="152">
                  <c:v>41278</c:v>
                </c:pt>
              </c:numCache>
            </c:numRef>
          </c:cat>
          <c:val>
            <c:numRef>
              <c:f>'Forecast &amp; ETS'!$B$2:$B$154</c:f>
              <c:numCache>
                <c:formatCode>General</c:formatCode>
                <c:ptCount val="153"/>
                <c:pt idx="0">
                  <c:v>49750740.15625</c:v>
                </c:pt>
                <c:pt idx="1">
                  <c:v>48336678.28125</c:v>
                </c:pt>
                <c:pt idx="2">
                  <c:v>48276993.65625</c:v>
                </c:pt>
                <c:pt idx="3">
                  <c:v>43968571.375</c:v>
                </c:pt>
                <c:pt idx="4">
                  <c:v>46871470.5</c:v>
                </c:pt>
                <c:pt idx="5">
                  <c:v>45925396.71875</c:v>
                </c:pt>
                <c:pt idx="6">
                  <c:v>44988974.40625</c:v>
                </c:pt>
                <c:pt idx="7">
                  <c:v>44133961.03125</c:v>
                </c:pt>
                <c:pt idx="8">
                  <c:v>50423831.46875</c:v>
                </c:pt>
                <c:pt idx="9">
                  <c:v>47365290.796875</c:v>
                </c:pt>
                <c:pt idx="10">
                  <c:v>45183667.15625</c:v>
                </c:pt>
                <c:pt idx="11">
                  <c:v>44734452.625</c:v>
                </c:pt>
                <c:pt idx="12">
                  <c:v>43705126.8125</c:v>
                </c:pt>
                <c:pt idx="13">
                  <c:v>48503243.75</c:v>
                </c:pt>
                <c:pt idx="14">
                  <c:v>45330080.46875</c:v>
                </c:pt>
                <c:pt idx="15">
                  <c:v>45120108.28125</c:v>
                </c:pt>
                <c:pt idx="16">
                  <c:v>47757502.65625</c:v>
                </c:pt>
                <c:pt idx="17">
                  <c:v>50188543.4375</c:v>
                </c:pt>
                <c:pt idx="18">
                  <c:v>47826547.03125</c:v>
                </c:pt>
                <c:pt idx="19">
                  <c:v>47622045.90625</c:v>
                </c:pt>
                <c:pt idx="20">
                  <c:v>46609036.40625</c:v>
                </c:pt>
                <c:pt idx="21">
                  <c:v>48917484.6875</c:v>
                </c:pt>
                <c:pt idx="22">
                  <c:v>47899529.1875</c:v>
                </c:pt>
                <c:pt idx="23">
                  <c:v>46243899.21875</c:v>
                </c:pt>
                <c:pt idx="24">
                  <c:v>44888849.375</c:v>
                </c:pt>
                <c:pt idx="25">
                  <c:v>44630363.15625</c:v>
                </c:pt>
                <c:pt idx="26">
                  <c:v>48204999.21875</c:v>
                </c:pt>
                <c:pt idx="27">
                  <c:v>46464418.34375</c:v>
                </c:pt>
                <c:pt idx="28">
                  <c:v>47060952.765625</c:v>
                </c:pt>
                <c:pt idx="29">
                  <c:v>45909740.21875</c:v>
                </c:pt>
                <c:pt idx="30">
                  <c:v>47194257.96875</c:v>
                </c:pt>
                <c:pt idx="31">
                  <c:v>45634397.84375</c:v>
                </c:pt>
                <c:pt idx="32">
                  <c:v>43080726.5</c:v>
                </c:pt>
                <c:pt idx="33">
                  <c:v>41358514.40625</c:v>
                </c:pt>
                <c:pt idx="34">
                  <c:v>42239875.734375</c:v>
                </c:pt>
                <c:pt idx="35">
                  <c:v>45102974.4375</c:v>
                </c:pt>
                <c:pt idx="36">
                  <c:v>43149473.453125</c:v>
                </c:pt>
                <c:pt idx="37">
                  <c:v>43066669.421875</c:v>
                </c:pt>
                <c:pt idx="38">
                  <c:v>43602830.96875</c:v>
                </c:pt>
                <c:pt idx="39">
                  <c:v>45781982.078125</c:v>
                </c:pt>
                <c:pt idx="40">
                  <c:v>46124800.90625</c:v>
                </c:pt>
                <c:pt idx="41">
                  <c:v>45125584.609375</c:v>
                </c:pt>
                <c:pt idx="42">
                  <c:v>65821003.28125</c:v>
                </c:pt>
                <c:pt idx="43">
                  <c:v>49909028.0625</c:v>
                </c:pt>
                <c:pt idx="44">
                  <c:v>55666770.25</c:v>
                </c:pt>
                <c:pt idx="45">
                  <c:v>61820799.796875</c:v>
                </c:pt>
                <c:pt idx="46">
                  <c:v>80931415.734375</c:v>
                </c:pt>
                <c:pt idx="47">
                  <c:v>40432519.109375</c:v>
                </c:pt>
                <c:pt idx="48">
                  <c:v>42775787.8125</c:v>
                </c:pt>
                <c:pt idx="49">
                  <c:v>40673677.796875</c:v>
                </c:pt>
                <c:pt idx="50">
                  <c:v>40654647.84375</c:v>
                </c:pt>
                <c:pt idx="51">
                  <c:v>39599852.96875</c:v>
                </c:pt>
                <c:pt idx="52">
                  <c:v>46153110.9375</c:v>
                </c:pt>
                <c:pt idx="53">
                  <c:v>47336192.5625</c:v>
                </c:pt>
                <c:pt idx="54">
                  <c:v>48716164.125</c:v>
                </c:pt>
                <c:pt idx="55">
                  <c:v>44125859.859375</c:v>
                </c:pt>
                <c:pt idx="56">
                  <c:v>46980603.609375</c:v>
                </c:pt>
                <c:pt idx="57">
                  <c:v>44627319.125</c:v>
                </c:pt>
                <c:pt idx="58">
                  <c:v>44872325.875</c:v>
                </c:pt>
                <c:pt idx="59">
                  <c:v>42876199.359375</c:v>
                </c:pt>
                <c:pt idx="60">
                  <c:v>43458991.21875</c:v>
                </c:pt>
                <c:pt idx="61">
                  <c:v>45887466.84375</c:v>
                </c:pt>
                <c:pt idx="62">
                  <c:v>44973328.125</c:v>
                </c:pt>
                <c:pt idx="63">
                  <c:v>48676691.859375</c:v>
                </c:pt>
                <c:pt idx="64">
                  <c:v>43530032.765625</c:v>
                </c:pt>
                <c:pt idx="65">
                  <c:v>46861958.375</c:v>
                </c:pt>
                <c:pt idx="66">
                  <c:v>45446144.78125</c:v>
                </c:pt>
                <c:pt idx="67">
                  <c:v>44046597.828125</c:v>
                </c:pt>
                <c:pt idx="68">
                  <c:v>45293456.8125</c:v>
                </c:pt>
                <c:pt idx="69">
                  <c:v>48771994.25</c:v>
                </c:pt>
                <c:pt idx="70">
                  <c:v>47669734.609375</c:v>
                </c:pt>
                <c:pt idx="71">
                  <c:v>47447561.96875</c:v>
                </c:pt>
                <c:pt idx="72">
                  <c:v>45884094.59375</c:v>
                </c:pt>
                <c:pt idx="73">
                  <c:v>47578519.328125</c:v>
                </c:pt>
                <c:pt idx="74">
                  <c:v>47859263.6875</c:v>
                </c:pt>
                <c:pt idx="75">
                  <c:v>45515929.71875</c:v>
                </c:pt>
                <c:pt idx="76">
                  <c:v>45274411.578125</c:v>
                </c:pt>
                <c:pt idx="77">
                  <c:v>43683273.765625</c:v>
                </c:pt>
                <c:pt idx="78">
                  <c:v>48015466.984375</c:v>
                </c:pt>
                <c:pt idx="79">
                  <c:v>46249569.3125</c:v>
                </c:pt>
                <c:pt idx="80">
                  <c:v>46917347.5625</c:v>
                </c:pt>
                <c:pt idx="81">
                  <c:v>47416948.4375</c:v>
                </c:pt>
                <c:pt idx="82">
                  <c:v>45376623.359375</c:v>
                </c:pt>
                <c:pt idx="83">
                  <c:v>46763227.59375</c:v>
                </c:pt>
                <c:pt idx="84">
                  <c:v>43793959.90625</c:v>
                </c:pt>
                <c:pt idx="85">
                  <c:v>42718096.625</c:v>
                </c:pt>
                <c:pt idx="86">
                  <c:v>42195831.046875</c:v>
                </c:pt>
                <c:pt idx="87">
                  <c:v>47211688.4375</c:v>
                </c:pt>
                <c:pt idx="88">
                  <c:v>44374820.4375</c:v>
                </c:pt>
                <c:pt idx="89">
                  <c:v>45818953.484375</c:v>
                </c:pt>
                <c:pt idx="90">
                  <c:v>45855820.953125</c:v>
                </c:pt>
                <c:pt idx="91">
                  <c:v>48655544.15625</c:v>
                </c:pt>
                <c:pt idx="92">
                  <c:v>48474224.46875</c:v>
                </c:pt>
                <c:pt idx="93">
                  <c:v>46438980.53125</c:v>
                </c:pt>
                <c:pt idx="94">
                  <c:v>66593605.03125</c:v>
                </c:pt>
                <c:pt idx="95">
                  <c:v>49390556.46875</c:v>
                </c:pt>
                <c:pt idx="96">
                  <c:v>55561147.78125</c:v>
                </c:pt>
                <c:pt idx="97">
                  <c:v>60085695.90625</c:v>
                </c:pt>
                <c:pt idx="98">
                  <c:v>76998241.0625</c:v>
                </c:pt>
                <c:pt idx="99">
                  <c:v>46042461.046875</c:v>
                </c:pt>
                <c:pt idx="100">
                  <c:v>44955421.9375</c:v>
                </c:pt>
                <c:pt idx="101">
                  <c:v>42023078.34375</c:v>
                </c:pt>
                <c:pt idx="102">
                  <c:v>42080996.671875</c:v>
                </c:pt>
                <c:pt idx="103">
                  <c:v>39834974.703125</c:v>
                </c:pt>
                <c:pt idx="104">
                  <c:v>46085607.96875</c:v>
                </c:pt>
                <c:pt idx="105">
                  <c:v>50009408.03125</c:v>
                </c:pt>
                <c:pt idx="106">
                  <c:v>50197057.25</c:v>
                </c:pt>
                <c:pt idx="107">
                  <c:v>45771506.671875</c:v>
                </c:pt>
                <c:pt idx="108">
                  <c:v>46861035.125</c:v>
                </c:pt>
                <c:pt idx="109">
                  <c:v>47480454.09375</c:v>
                </c:pt>
                <c:pt idx="110">
                  <c:v>46901504.84375</c:v>
                </c:pt>
                <c:pt idx="111">
                  <c:v>44993794.65625</c:v>
                </c:pt>
                <c:pt idx="112">
                  <c:v>45272862.078125</c:v>
                </c:pt>
                <c:pt idx="113">
                  <c:v>53502316.0625</c:v>
                </c:pt>
                <c:pt idx="114">
                  <c:v>46629261.90625</c:v>
                </c:pt>
                <c:pt idx="115">
                  <c:v>45072530.046875</c:v>
                </c:pt>
                <c:pt idx="116">
                  <c:v>43716798.875</c:v>
                </c:pt>
                <c:pt idx="117">
                  <c:v>47124198</c:v>
                </c:pt>
                <c:pt idx="118">
                  <c:v>46925878.875</c:v>
                </c:pt>
                <c:pt idx="119">
                  <c:v>46823939.15625</c:v>
                </c:pt>
                <c:pt idx="120">
                  <c:v>47892463.359375</c:v>
                </c:pt>
                <c:pt idx="121">
                  <c:v>48281649.75</c:v>
                </c:pt>
                <c:pt idx="122">
                  <c:v>49651172.34375</c:v>
                </c:pt>
                <c:pt idx="123">
                  <c:v>48412110.5</c:v>
                </c:pt>
                <c:pt idx="124">
                  <c:v>47668284.890625</c:v>
                </c:pt>
                <c:pt idx="125">
                  <c:v>46597112.28125</c:v>
                </c:pt>
                <c:pt idx="126">
                  <c:v>51253021.34375</c:v>
                </c:pt>
                <c:pt idx="127">
                  <c:v>46099731.6875</c:v>
                </c:pt>
                <c:pt idx="128">
                  <c:v>46059543.359375</c:v>
                </c:pt>
                <c:pt idx="129">
                  <c:v>44097154.71875</c:v>
                </c:pt>
                <c:pt idx="130">
                  <c:v>47485899.90625</c:v>
                </c:pt>
                <c:pt idx="131">
                  <c:v>47403451.1875</c:v>
                </c:pt>
                <c:pt idx="132">
                  <c:v>47354451.90625</c:v>
                </c:pt>
                <c:pt idx="133">
                  <c:v>47447323.5625</c:v>
                </c:pt>
                <c:pt idx="134">
                  <c:v>47159639.25</c:v>
                </c:pt>
                <c:pt idx="135">
                  <c:v>48330059.53125</c:v>
                </c:pt>
                <c:pt idx="136">
                  <c:v>44226038.53125</c:v>
                </c:pt>
                <c:pt idx="137">
                  <c:v>44354546.734375</c:v>
                </c:pt>
                <c:pt idx="138">
                  <c:v>43734899.484375</c:v>
                </c:pt>
                <c:pt idx="139">
                  <c:v>47566639.40625</c:v>
                </c:pt>
                <c:pt idx="140">
                  <c:v>46128514.0625</c:v>
                </c:pt>
                <c:pt idx="141">
                  <c:v>45122410.59375</c:v>
                </c:pt>
                <c:pt idx="142">
                  <c:v>45544116.5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4-4DF3-9AF0-9E28E96F1C1E}"/>
            </c:ext>
          </c:extLst>
        </c:ser>
        <c:ser>
          <c:idx val="1"/>
          <c:order val="1"/>
          <c:tx>
            <c:strRef>
              <c:f>'Forecast &amp; ETS'!$C$1</c:f>
              <c:strCache>
                <c:ptCount val="1"/>
                <c:pt idx="0">
                  <c:v>4MA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&amp; ETS'!$A$2:$A$154</c:f>
              <c:numCache>
                <c:formatCode>m/d/yyyy</c:formatCode>
                <c:ptCount val="153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  <c:pt idx="143">
                  <c:v>41215</c:v>
                </c:pt>
                <c:pt idx="144">
                  <c:v>41222</c:v>
                </c:pt>
                <c:pt idx="145">
                  <c:v>41229</c:v>
                </c:pt>
                <c:pt idx="146">
                  <c:v>41236</c:v>
                </c:pt>
                <c:pt idx="147">
                  <c:v>41243</c:v>
                </c:pt>
                <c:pt idx="148">
                  <c:v>41250</c:v>
                </c:pt>
                <c:pt idx="149">
                  <c:v>41257</c:v>
                </c:pt>
                <c:pt idx="150">
                  <c:v>41264</c:v>
                </c:pt>
                <c:pt idx="151">
                  <c:v>41271</c:v>
                </c:pt>
                <c:pt idx="152">
                  <c:v>41278</c:v>
                </c:pt>
              </c:numCache>
            </c:numRef>
          </c:cat>
          <c:val>
            <c:numRef>
              <c:f>'Forecast &amp; ETS'!$C$2:$C$154</c:f>
              <c:numCache>
                <c:formatCode>General</c:formatCode>
                <c:ptCount val="153"/>
                <c:pt idx="3">
                  <c:v>47583245.8671875</c:v>
                </c:pt>
                <c:pt idx="4">
                  <c:v>46863428.453125</c:v>
                </c:pt>
                <c:pt idx="5">
                  <c:v>46260608.0625</c:v>
                </c:pt>
                <c:pt idx="6">
                  <c:v>45438603.25</c:v>
                </c:pt>
                <c:pt idx="7">
                  <c:v>45479950.6640625</c:v>
                </c:pt>
                <c:pt idx="8">
                  <c:v>46368040.90625</c:v>
                </c:pt>
                <c:pt idx="9">
                  <c:v>46728014.42578125</c:v>
                </c:pt>
                <c:pt idx="10">
                  <c:v>46776687.61328125</c:v>
                </c:pt>
                <c:pt idx="11">
                  <c:v>46926810.51171875</c:v>
                </c:pt>
                <c:pt idx="12">
                  <c:v>45247134.34765625</c:v>
                </c:pt>
                <c:pt idx="13">
                  <c:v>45531622.5859375</c:v>
                </c:pt>
                <c:pt idx="14">
                  <c:v>45568225.9140625</c:v>
                </c:pt>
                <c:pt idx="15">
                  <c:v>45664639.828125</c:v>
                </c:pt>
                <c:pt idx="16">
                  <c:v>46677733.7890625</c:v>
                </c:pt>
                <c:pt idx="17">
                  <c:v>47099058.7109375</c:v>
                </c:pt>
                <c:pt idx="18">
                  <c:v>47723175.3515625</c:v>
                </c:pt>
                <c:pt idx="19">
                  <c:v>48348659.7578125</c:v>
                </c:pt>
                <c:pt idx="20">
                  <c:v>48061543.1953125</c:v>
                </c:pt>
                <c:pt idx="21">
                  <c:v>47743778.5078125</c:v>
                </c:pt>
                <c:pt idx="22">
                  <c:v>47762024.046875</c:v>
                </c:pt>
                <c:pt idx="23">
                  <c:v>47417487.375</c:v>
                </c:pt>
                <c:pt idx="24">
                  <c:v>46987440.6171875</c:v>
                </c:pt>
                <c:pt idx="25">
                  <c:v>45915660.234375</c:v>
                </c:pt>
                <c:pt idx="26">
                  <c:v>45992027.7421875</c:v>
                </c:pt>
                <c:pt idx="27">
                  <c:v>46047157.5234375</c:v>
                </c:pt>
                <c:pt idx="28">
                  <c:v>46590183.37109375</c:v>
                </c:pt>
                <c:pt idx="29">
                  <c:v>46910027.63671875</c:v>
                </c:pt>
                <c:pt idx="30">
                  <c:v>46657342.32421875</c:v>
                </c:pt>
                <c:pt idx="31">
                  <c:v>46449837.19921875</c:v>
                </c:pt>
                <c:pt idx="32">
                  <c:v>45454780.6328125</c:v>
                </c:pt>
                <c:pt idx="33">
                  <c:v>44316974.1796875</c:v>
                </c:pt>
                <c:pt idx="34">
                  <c:v>43078378.62109375</c:v>
                </c:pt>
                <c:pt idx="35">
                  <c:v>42945522.76953125</c:v>
                </c:pt>
                <c:pt idx="36">
                  <c:v>42962709.5078125</c:v>
                </c:pt>
                <c:pt idx="37">
                  <c:v>43389748.26171875</c:v>
                </c:pt>
                <c:pt idx="38">
                  <c:v>43730487.0703125</c:v>
                </c:pt>
                <c:pt idx="39">
                  <c:v>43900238.98046875</c:v>
                </c:pt>
                <c:pt idx="40">
                  <c:v>44644070.84375</c:v>
                </c:pt>
                <c:pt idx="41">
                  <c:v>45158799.640625</c:v>
                </c:pt>
                <c:pt idx="42">
                  <c:v>50713342.71875</c:v>
                </c:pt>
                <c:pt idx="43">
                  <c:v>51745104.21484375</c:v>
                </c:pt>
                <c:pt idx="44">
                  <c:v>54130596.55078125</c:v>
                </c:pt>
                <c:pt idx="45">
                  <c:v>58304400.34765625</c:v>
                </c:pt>
                <c:pt idx="46">
                  <c:v>62082003.4609375</c:v>
                </c:pt>
                <c:pt idx="47">
                  <c:v>59712876.22265625</c:v>
                </c:pt>
                <c:pt idx="48">
                  <c:v>56490130.61328125</c:v>
                </c:pt>
                <c:pt idx="49">
                  <c:v>51203350.11328125</c:v>
                </c:pt>
                <c:pt idx="50">
                  <c:v>41134158.140625</c:v>
                </c:pt>
                <c:pt idx="51">
                  <c:v>40925991.60546875</c:v>
                </c:pt>
                <c:pt idx="52">
                  <c:v>41770322.38671875</c:v>
                </c:pt>
                <c:pt idx="53">
                  <c:v>43435951.078125</c:v>
                </c:pt>
                <c:pt idx="54">
                  <c:v>45451330.1484375</c:v>
                </c:pt>
                <c:pt idx="55">
                  <c:v>46582831.87109375</c:v>
                </c:pt>
                <c:pt idx="56">
                  <c:v>46789705.0390625</c:v>
                </c:pt>
                <c:pt idx="57">
                  <c:v>46112486.6796875</c:v>
                </c:pt>
                <c:pt idx="58">
                  <c:v>45151527.1171875</c:v>
                </c:pt>
                <c:pt idx="59">
                  <c:v>44839111.9921875</c:v>
                </c:pt>
                <c:pt idx="60">
                  <c:v>43958708.89453125</c:v>
                </c:pt>
                <c:pt idx="61">
                  <c:v>44273745.82421875</c:v>
                </c:pt>
                <c:pt idx="62">
                  <c:v>44298996.38671875</c:v>
                </c:pt>
                <c:pt idx="63">
                  <c:v>45749119.51171875</c:v>
                </c:pt>
                <c:pt idx="64">
                  <c:v>45766879.8984375</c:v>
                </c:pt>
                <c:pt idx="65">
                  <c:v>46010502.78125</c:v>
                </c:pt>
                <c:pt idx="66">
                  <c:v>46128706.9453125</c:v>
                </c:pt>
                <c:pt idx="67">
                  <c:v>44971183.4375</c:v>
                </c:pt>
                <c:pt idx="68">
                  <c:v>45412039.44921875</c:v>
                </c:pt>
                <c:pt idx="69">
                  <c:v>45889548.41796875</c:v>
                </c:pt>
                <c:pt idx="70">
                  <c:v>46445445.875</c:v>
                </c:pt>
                <c:pt idx="71">
                  <c:v>47295686.91015625</c:v>
                </c:pt>
                <c:pt idx="72">
                  <c:v>47443346.35546875</c:v>
                </c:pt>
                <c:pt idx="73">
                  <c:v>47144977.625</c:v>
                </c:pt>
                <c:pt idx="74">
                  <c:v>47192359.89453125</c:v>
                </c:pt>
                <c:pt idx="75">
                  <c:v>46709451.83203125</c:v>
                </c:pt>
                <c:pt idx="76">
                  <c:v>46557031.078125</c:v>
                </c:pt>
                <c:pt idx="77">
                  <c:v>45583219.6875</c:v>
                </c:pt>
                <c:pt idx="78">
                  <c:v>45622270.51171875</c:v>
                </c:pt>
                <c:pt idx="79">
                  <c:v>45805680.41015625</c:v>
                </c:pt>
                <c:pt idx="80">
                  <c:v>46216414.40625</c:v>
                </c:pt>
                <c:pt idx="81">
                  <c:v>47149833.07421875</c:v>
                </c:pt>
                <c:pt idx="82">
                  <c:v>46490122.16796875</c:v>
                </c:pt>
                <c:pt idx="83">
                  <c:v>46618536.73828125</c:v>
                </c:pt>
                <c:pt idx="84">
                  <c:v>45837689.82421875</c:v>
                </c:pt>
                <c:pt idx="85">
                  <c:v>44662976.87109375</c:v>
                </c:pt>
                <c:pt idx="86">
                  <c:v>43867778.79296875</c:v>
                </c:pt>
                <c:pt idx="87">
                  <c:v>43979894.00390625</c:v>
                </c:pt>
                <c:pt idx="88">
                  <c:v>44125109.13671875</c:v>
                </c:pt>
                <c:pt idx="89">
                  <c:v>44900323.3515625</c:v>
                </c:pt>
                <c:pt idx="90">
                  <c:v>45815320.828125</c:v>
                </c:pt>
                <c:pt idx="91">
                  <c:v>46176284.7578125</c:v>
                </c:pt>
                <c:pt idx="92">
                  <c:v>47201135.765625</c:v>
                </c:pt>
                <c:pt idx="93">
                  <c:v>47356142.52734375</c:v>
                </c:pt>
                <c:pt idx="94">
                  <c:v>52540588.546875</c:v>
                </c:pt>
                <c:pt idx="95">
                  <c:v>52724341.625</c:v>
                </c:pt>
                <c:pt idx="96">
                  <c:v>54496072.453125</c:v>
                </c:pt>
                <c:pt idx="97">
                  <c:v>57907751.296875</c:v>
                </c:pt>
                <c:pt idx="98">
                  <c:v>60508910.3046875</c:v>
                </c:pt>
                <c:pt idx="99">
                  <c:v>59671886.44921875</c:v>
                </c:pt>
                <c:pt idx="100">
                  <c:v>57020454.98828125</c:v>
                </c:pt>
                <c:pt idx="101">
                  <c:v>52504800.59765625</c:v>
                </c:pt>
                <c:pt idx="102">
                  <c:v>43775489.5</c:v>
                </c:pt>
                <c:pt idx="103">
                  <c:v>42223617.9140625</c:v>
                </c:pt>
                <c:pt idx="104">
                  <c:v>42506164.421875</c:v>
                </c:pt>
                <c:pt idx="105">
                  <c:v>44502746.84375</c:v>
                </c:pt>
                <c:pt idx="106">
                  <c:v>46531761.98828125</c:v>
                </c:pt>
                <c:pt idx="107">
                  <c:v>48015894.98046875</c:v>
                </c:pt>
                <c:pt idx="108">
                  <c:v>48209751.76953125</c:v>
                </c:pt>
                <c:pt idx="109">
                  <c:v>47577513.28515625</c:v>
                </c:pt>
                <c:pt idx="110">
                  <c:v>46753625.18359375</c:v>
                </c:pt>
                <c:pt idx="111">
                  <c:v>46559197.1796875</c:v>
                </c:pt>
                <c:pt idx="112">
                  <c:v>46162153.91796875</c:v>
                </c:pt>
                <c:pt idx="113">
                  <c:v>47667619.41015625</c:v>
                </c:pt>
                <c:pt idx="114">
                  <c:v>47599558.67578125</c:v>
                </c:pt>
                <c:pt idx="115">
                  <c:v>47619242.5234375</c:v>
                </c:pt>
                <c:pt idx="116">
                  <c:v>47230226.72265625</c:v>
                </c:pt>
                <c:pt idx="117">
                  <c:v>45635697.20703125</c:v>
                </c:pt>
                <c:pt idx="118">
                  <c:v>45709851.44921875</c:v>
                </c:pt>
                <c:pt idx="119">
                  <c:v>46147703.7265625</c:v>
                </c:pt>
                <c:pt idx="120">
                  <c:v>47191619.84765625</c:v>
                </c:pt>
                <c:pt idx="121">
                  <c:v>47480982.78515625</c:v>
                </c:pt>
                <c:pt idx="122">
                  <c:v>48162306.15234375</c:v>
                </c:pt>
                <c:pt idx="123">
                  <c:v>48559348.98828125</c:v>
                </c:pt>
                <c:pt idx="124">
                  <c:v>48503304.37109375</c:v>
                </c:pt>
                <c:pt idx="125">
                  <c:v>48082170.00390625</c:v>
                </c:pt>
                <c:pt idx="126">
                  <c:v>48482632.25390625</c:v>
                </c:pt>
                <c:pt idx="127">
                  <c:v>47904537.55078125</c:v>
                </c:pt>
                <c:pt idx="128">
                  <c:v>47502352.16796875</c:v>
                </c:pt>
                <c:pt idx="129">
                  <c:v>46877362.77734375</c:v>
                </c:pt>
                <c:pt idx="130">
                  <c:v>45935582.41796875</c:v>
                </c:pt>
                <c:pt idx="131">
                  <c:v>46261512.29296875</c:v>
                </c:pt>
                <c:pt idx="132">
                  <c:v>46585239.4296875</c:v>
                </c:pt>
                <c:pt idx="133">
                  <c:v>47422781.640625</c:v>
                </c:pt>
                <c:pt idx="134">
                  <c:v>47341216.4765625</c:v>
                </c:pt>
                <c:pt idx="135">
                  <c:v>47572868.5625</c:v>
                </c:pt>
                <c:pt idx="136">
                  <c:v>46790765.21875</c:v>
                </c:pt>
                <c:pt idx="137">
                  <c:v>46017571.01171875</c:v>
                </c:pt>
                <c:pt idx="138">
                  <c:v>45161386.0703125</c:v>
                </c:pt>
                <c:pt idx="139">
                  <c:v>44970531.0390625</c:v>
                </c:pt>
                <c:pt idx="140">
                  <c:v>45446149.921875</c:v>
                </c:pt>
                <c:pt idx="141">
                  <c:v>45638115.88671875</c:v>
                </c:pt>
                <c:pt idx="142">
                  <c:v>46090420.140625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64-4DF3-9AF0-9E28E96F1C1E}"/>
            </c:ext>
          </c:extLst>
        </c:ser>
        <c:ser>
          <c:idx val="2"/>
          <c:order val="2"/>
          <c:tx>
            <c:strRef>
              <c:f>'Forecast &amp; ETS'!$D$1</c:f>
              <c:strCache>
                <c:ptCount val="1"/>
                <c:pt idx="0">
                  <c:v>WSF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'Forecast &amp; ETS'!$A$2:$A$154</c:f>
              <c:numCache>
                <c:formatCode>m/d/yyyy</c:formatCode>
                <c:ptCount val="153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  <c:pt idx="143">
                  <c:v>41215</c:v>
                </c:pt>
                <c:pt idx="144">
                  <c:v>41222</c:v>
                </c:pt>
                <c:pt idx="145">
                  <c:v>41229</c:v>
                </c:pt>
                <c:pt idx="146">
                  <c:v>41236</c:v>
                </c:pt>
                <c:pt idx="147">
                  <c:v>41243</c:v>
                </c:pt>
                <c:pt idx="148">
                  <c:v>41250</c:v>
                </c:pt>
                <c:pt idx="149">
                  <c:v>41257</c:v>
                </c:pt>
                <c:pt idx="150">
                  <c:v>41264</c:v>
                </c:pt>
                <c:pt idx="151">
                  <c:v>41271</c:v>
                </c:pt>
                <c:pt idx="152">
                  <c:v>41278</c:v>
                </c:pt>
              </c:numCache>
            </c:numRef>
          </c:cat>
          <c:val>
            <c:numRef>
              <c:f>'Forecast &amp; ETS'!$D$2:$D$154</c:f>
              <c:numCache>
                <c:formatCode>General</c:formatCode>
                <c:ptCount val="153"/>
                <c:pt idx="143">
                  <c:v>47421229.356601804</c:v>
                </c:pt>
                <c:pt idx="144">
                  <c:v>47425504.49350664</c:v>
                </c:pt>
                <c:pt idx="145">
                  <c:v>47429779.630411476</c:v>
                </c:pt>
                <c:pt idx="146">
                  <c:v>47434054.767316312</c:v>
                </c:pt>
                <c:pt idx="147">
                  <c:v>47438329.904221147</c:v>
                </c:pt>
                <c:pt idx="148">
                  <c:v>47442605.041125983</c:v>
                </c:pt>
                <c:pt idx="149">
                  <c:v>47446880.178030819</c:v>
                </c:pt>
                <c:pt idx="150">
                  <c:v>47451155.314935654</c:v>
                </c:pt>
                <c:pt idx="151">
                  <c:v>47455430.45184049</c:v>
                </c:pt>
                <c:pt idx="152">
                  <c:v>47459705.588745326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64-4DF3-9AF0-9E28E96F1C1E}"/>
            </c:ext>
          </c:extLst>
        </c:ser>
        <c:ser>
          <c:idx val="3"/>
          <c:order val="3"/>
          <c:tx>
            <c:strRef>
              <c:f>'Forecast &amp; ETS'!$E$1</c:f>
              <c:strCache>
                <c:ptCount val="1"/>
                <c:pt idx="0">
                  <c:v>4MAF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'Forecast &amp; ETS'!$A$2:$A$154</c:f>
              <c:numCache>
                <c:formatCode>m/d/yyyy</c:formatCode>
                <c:ptCount val="153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  <c:pt idx="143">
                  <c:v>41215</c:v>
                </c:pt>
                <c:pt idx="144">
                  <c:v>41222</c:v>
                </c:pt>
                <c:pt idx="145">
                  <c:v>41229</c:v>
                </c:pt>
                <c:pt idx="146">
                  <c:v>41236</c:v>
                </c:pt>
                <c:pt idx="147">
                  <c:v>41243</c:v>
                </c:pt>
                <c:pt idx="148">
                  <c:v>41250</c:v>
                </c:pt>
                <c:pt idx="149">
                  <c:v>41257</c:v>
                </c:pt>
                <c:pt idx="150">
                  <c:v>41264</c:v>
                </c:pt>
                <c:pt idx="151">
                  <c:v>41271</c:v>
                </c:pt>
                <c:pt idx="152">
                  <c:v>41278</c:v>
                </c:pt>
              </c:numCache>
            </c:numRef>
          </c:cat>
          <c:val>
            <c:numRef>
              <c:f>'Forecast &amp; ETS'!$E$2:$E$154</c:f>
              <c:numCache>
                <c:formatCode>General</c:formatCode>
                <c:ptCount val="153"/>
                <c:pt idx="143">
                  <c:v>47547721.550324388</c:v>
                </c:pt>
                <c:pt idx="144">
                  <c:v>47553928.651893072</c:v>
                </c:pt>
                <c:pt idx="145">
                  <c:v>47560135.753461756</c:v>
                </c:pt>
                <c:pt idx="146">
                  <c:v>47566342.85503044</c:v>
                </c:pt>
                <c:pt idx="147">
                  <c:v>47572549.956599124</c:v>
                </c:pt>
                <c:pt idx="148">
                  <c:v>47578757.058167808</c:v>
                </c:pt>
                <c:pt idx="149">
                  <c:v>47584964.159736492</c:v>
                </c:pt>
                <c:pt idx="150">
                  <c:v>47591171.261305176</c:v>
                </c:pt>
                <c:pt idx="151">
                  <c:v>47597378.36287386</c:v>
                </c:pt>
                <c:pt idx="152">
                  <c:v>47603585.464442544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64-4DF3-9AF0-9E28E96F1C1E}"/>
            </c:ext>
          </c:extLst>
        </c:ser>
        <c:ser>
          <c:idx val="4"/>
          <c:order val="4"/>
          <c:tx>
            <c:strRef>
              <c:f>'Forecast &amp; ETS'!$F$1</c:f>
              <c:strCache>
                <c:ptCount val="1"/>
                <c:pt idx="0">
                  <c:v>WFA_ETS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'Forecast &amp; ETS'!$A$2:$A$154</c:f>
              <c:numCache>
                <c:formatCode>m/d/yyyy</c:formatCode>
                <c:ptCount val="153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  <c:pt idx="143">
                  <c:v>41215</c:v>
                </c:pt>
                <c:pt idx="144">
                  <c:v>41222</c:v>
                </c:pt>
                <c:pt idx="145">
                  <c:v>41229</c:v>
                </c:pt>
                <c:pt idx="146">
                  <c:v>41236</c:v>
                </c:pt>
                <c:pt idx="147">
                  <c:v>41243</c:v>
                </c:pt>
                <c:pt idx="148">
                  <c:v>41250</c:v>
                </c:pt>
                <c:pt idx="149">
                  <c:v>41257</c:v>
                </c:pt>
                <c:pt idx="150">
                  <c:v>41264</c:v>
                </c:pt>
                <c:pt idx="151">
                  <c:v>41271</c:v>
                </c:pt>
                <c:pt idx="152">
                  <c:v>41278</c:v>
                </c:pt>
              </c:numCache>
            </c:numRef>
          </c:cat>
          <c:val>
            <c:numRef>
              <c:f>'Forecast &amp; ETS'!$F$2:$F$154</c:f>
              <c:numCache>
                <c:formatCode>General</c:formatCode>
                <c:ptCount val="153"/>
                <c:pt idx="143">
                  <c:v>48655113.494381838</c:v>
                </c:pt>
                <c:pt idx="144">
                  <c:v>47346070.167640835</c:v>
                </c:pt>
                <c:pt idx="145">
                  <c:v>47229754.057217889</c:v>
                </c:pt>
                <c:pt idx="146">
                  <c:v>54652552.080201633</c:v>
                </c:pt>
                <c:pt idx="147">
                  <c:v>50632090.88222973</c:v>
                </c:pt>
                <c:pt idx="148">
                  <c:v>48518973.028540395</c:v>
                </c:pt>
                <c:pt idx="149">
                  <c:v>47379656.692856058</c:v>
                </c:pt>
                <c:pt idx="150">
                  <c:v>46223092.380532406</c:v>
                </c:pt>
                <c:pt idx="151">
                  <c:v>49272928.314215139</c:v>
                </c:pt>
                <c:pt idx="152">
                  <c:v>48685557.788455673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64-4DF3-9AF0-9E28E96F1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886271"/>
        <c:axId val="246882431"/>
      </c:lineChart>
      <c:dateAx>
        <c:axId val="24688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82431"/>
        <c:crosses val="autoZero"/>
        <c:auto val="1"/>
        <c:lblOffset val="100"/>
        <c:baseTimeUnit val="days"/>
      </c:dateAx>
      <c:valAx>
        <c:axId val="2468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Weekly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8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</xdr:colOff>
      <xdr:row>5</xdr:row>
      <xdr:rowOff>9525</xdr:rowOff>
    </xdr:from>
    <xdr:to>
      <xdr:col>13</xdr:col>
      <xdr:colOff>645318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20C95-7707-4029-99F5-3CA523CC1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638175</xdr:colOff>
      <xdr:row>37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AA9E45-1529-436A-9028-FE43655D3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FBB9-74D8-48EF-9018-A68E12680962}">
  <dimension ref="A1:I154"/>
  <sheetViews>
    <sheetView tabSelected="1" workbookViewId="0">
      <selection activeCell="O7" sqref="O7"/>
    </sheetView>
  </sheetViews>
  <sheetFormatPr defaultRowHeight="14.25" x14ac:dyDescent="0.45"/>
  <cols>
    <col min="1" max="1" width="9.9296875" bestFit="1" customWidth="1"/>
    <col min="2" max="2" width="16.06640625" bestFit="1" customWidth="1"/>
    <col min="8" max="8" width="9.73046875" bestFit="1" customWidth="1"/>
  </cols>
  <sheetData>
    <row r="1" spans="1:9" x14ac:dyDescent="0.45">
      <c r="A1" s="4" t="s">
        <v>6</v>
      </c>
      <c r="B1" s="4" t="s">
        <v>5</v>
      </c>
      <c r="C1" s="4" t="s">
        <v>4</v>
      </c>
      <c r="D1" s="4" t="s">
        <v>3</v>
      </c>
      <c r="E1" s="4" t="s">
        <v>2</v>
      </c>
      <c r="F1" s="4" t="s">
        <v>1</v>
      </c>
    </row>
    <row r="2" spans="1:9" x14ac:dyDescent="0.45">
      <c r="A2" s="5">
        <v>40214</v>
      </c>
      <c r="B2" s="4">
        <v>49750740.15625</v>
      </c>
      <c r="C2" s="4"/>
      <c r="D2" s="4"/>
      <c r="E2" s="4"/>
      <c r="F2" s="4"/>
    </row>
    <row r="3" spans="1:9" x14ac:dyDescent="0.45">
      <c r="A3" s="5">
        <v>40221</v>
      </c>
      <c r="B3" s="4">
        <v>48336678.28125</v>
      </c>
      <c r="C3" s="4"/>
      <c r="D3" s="4"/>
      <c r="E3" s="4"/>
      <c r="F3" s="4"/>
    </row>
    <row r="4" spans="1:9" x14ac:dyDescent="0.45">
      <c r="A4" s="5">
        <v>40228</v>
      </c>
      <c r="B4" s="4">
        <v>48276993.65625</v>
      </c>
      <c r="C4" s="4"/>
      <c r="D4" s="4"/>
      <c r="E4" s="4"/>
      <c r="F4" s="4"/>
      <c r="H4" t="s">
        <v>0</v>
      </c>
      <c r="I4">
        <f>_xlfn.FORECAST.ETS.SEASONALITY(B2:B144,A2:A144)</f>
        <v>13</v>
      </c>
    </row>
    <row r="5" spans="1:9" x14ac:dyDescent="0.45">
      <c r="A5" s="5">
        <v>40235</v>
      </c>
      <c r="B5" s="4">
        <v>43968571.375</v>
      </c>
      <c r="C5" s="4">
        <f>AVERAGE(B2:B5)</f>
        <v>47583245.8671875</v>
      </c>
      <c r="D5" s="4"/>
      <c r="E5" s="4"/>
      <c r="F5" s="4"/>
    </row>
    <row r="6" spans="1:9" x14ac:dyDescent="0.45">
      <c r="A6" s="5">
        <v>40242</v>
      </c>
      <c r="B6" s="4">
        <v>46871470.5</v>
      </c>
      <c r="C6" s="4">
        <f>AVERAGE(B3:B6)</f>
        <v>46863428.453125</v>
      </c>
      <c r="D6" s="4"/>
      <c r="E6" s="4"/>
      <c r="F6" s="4"/>
    </row>
    <row r="7" spans="1:9" x14ac:dyDescent="0.45">
      <c r="A7" s="5">
        <v>40249</v>
      </c>
      <c r="B7" s="4">
        <v>45925396.71875</v>
      </c>
      <c r="C7" s="4">
        <f>AVERAGE(B4:B7)</f>
        <v>46260608.0625</v>
      </c>
      <c r="D7" s="4"/>
      <c r="E7" s="4"/>
      <c r="F7" s="4"/>
    </row>
    <row r="8" spans="1:9" x14ac:dyDescent="0.45">
      <c r="A8" s="5">
        <v>40256</v>
      </c>
      <c r="B8" s="4">
        <v>44988974.40625</v>
      </c>
      <c r="C8" s="4">
        <f>AVERAGE(B5:B8)</f>
        <v>45438603.25</v>
      </c>
      <c r="D8" s="4"/>
      <c r="E8" s="4"/>
      <c r="F8" s="4"/>
    </row>
    <row r="9" spans="1:9" x14ac:dyDescent="0.45">
      <c r="A9" s="5">
        <v>40263</v>
      </c>
      <c r="B9" s="4">
        <v>44133961.03125</v>
      </c>
      <c r="C9" s="4">
        <f>AVERAGE(B6:B9)</f>
        <v>45479950.6640625</v>
      </c>
      <c r="D9" s="4"/>
      <c r="E9" s="4"/>
      <c r="F9" s="4"/>
    </row>
    <row r="10" spans="1:9" x14ac:dyDescent="0.45">
      <c r="A10" s="5">
        <v>40270</v>
      </c>
      <c r="B10" s="4">
        <v>50423831.46875</v>
      </c>
      <c r="C10" s="4">
        <f>AVERAGE(B7:B10)</f>
        <v>46368040.90625</v>
      </c>
      <c r="D10" s="4"/>
      <c r="E10" s="4"/>
      <c r="F10" s="4"/>
    </row>
    <row r="11" spans="1:9" x14ac:dyDescent="0.45">
      <c r="A11" s="5">
        <v>40277</v>
      </c>
      <c r="B11" s="4">
        <v>47365290.796875</v>
      </c>
      <c r="C11" s="4">
        <f>AVERAGE(B8:B11)</f>
        <v>46728014.42578125</v>
      </c>
      <c r="D11" s="4"/>
      <c r="E11" s="4"/>
      <c r="F11" s="4"/>
    </row>
    <row r="12" spans="1:9" x14ac:dyDescent="0.45">
      <c r="A12" s="5">
        <v>40284</v>
      </c>
      <c r="B12" s="4">
        <v>45183667.15625</v>
      </c>
      <c r="C12" s="4">
        <f>AVERAGE(B9:B12)</f>
        <v>46776687.61328125</v>
      </c>
      <c r="D12" s="4"/>
      <c r="E12" s="4"/>
      <c r="F12" s="4"/>
    </row>
    <row r="13" spans="1:9" x14ac:dyDescent="0.45">
      <c r="A13" s="5">
        <v>40291</v>
      </c>
      <c r="B13" s="4">
        <v>44734452.625</v>
      </c>
      <c r="C13" s="4">
        <f>AVERAGE(B10:B13)</f>
        <v>46926810.51171875</v>
      </c>
      <c r="D13" s="4"/>
      <c r="E13" s="4"/>
      <c r="F13" s="4"/>
    </row>
    <row r="14" spans="1:9" x14ac:dyDescent="0.45">
      <c r="A14" s="5">
        <v>40298</v>
      </c>
      <c r="B14" s="4">
        <v>43705126.8125</v>
      </c>
      <c r="C14" s="4">
        <f>AVERAGE(B11:B14)</f>
        <v>45247134.34765625</v>
      </c>
      <c r="D14" s="4"/>
      <c r="E14" s="4"/>
      <c r="F14" s="4"/>
    </row>
    <row r="15" spans="1:9" x14ac:dyDescent="0.45">
      <c r="A15" s="5">
        <v>40305</v>
      </c>
      <c r="B15" s="4">
        <v>48503243.75</v>
      </c>
      <c r="C15" s="4">
        <f>AVERAGE(B12:B15)</f>
        <v>45531622.5859375</v>
      </c>
      <c r="D15" s="4"/>
      <c r="E15" s="4"/>
      <c r="F15" s="4"/>
    </row>
    <row r="16" spans="1:9" x14ac:dyDescent="0.45">
      <c r="A16" s="5">
        <v>40312</v>
      </c>
      <c r="B16" s="4">
        <v>45330080.46875</v>
      </c>
      <c r="C16" s="4">
        <f>AVERAGE(B13:B16)</f>
        <v>45568225.9140625</v>
      </c>
      <c r="D16" s="4"/>
      <c r="E16" s="4"/>
      <c r="F16" s="4"/>
    </row>
    <row r="17" spans="1:6" x14ac:dyDescent="0.45">
      <c r="A17" s="5">
        <v>40319</v>
      </c>
      <c r="B17" s="4">
        <v>45120108.28125</v>
      </c>
      <c r="C17" s="4">
        <f>AVERAGE(B14:B17)</f>
        <v>45664639.828125</v>
      </c>
      <c r="D17" s="4"/>
      <c r="E17" s="4"/>
      <c r="F17" s="4"/>
    </row>
    <row r="18" spans="1:6" x14ac:dyDescent="0.45">
      <c r="A18" s="5">
        <v>40326</v>
      </c>
      <c r="B18" s="4">
        <v>47757502.65625</v>
      </c>
      <c r="C18" s="4">
        <f>AVERAGE(B15:B18)</f>
        <v>46677733.7890625</v>
      </c>
      <c r="D18" s="4"/>
      <c r="E18" s="4"/>
      <c r="F18" s="4"/>
    </row>
    <row r="19" spans="1:6" x14ac:dyDescent="0.45">
      <c r="A19" s="5">
        <v>40333</v>
      </c>
      <c r="B19" s="4">
        <v>50188543.4375</v>
      </c>
      <c r="C19" s="4">
        <f>AVERAGE(B16:B19)</f>
        <v>47099058.7109375</v>
      </c>
      <c r="D19" s="4"/>
      <c r="E19" s="4"/>
      <c r="F19" s="4"/>
    </row>
    <row r="20" spans="1:6" x14ac:dyDescent="0.45">
      <c r="A20" s="5">
        <v>40340</v>
      </c>
      <c r="B20" s="4">
        <v>47826547.03125</v>
      </c>
      <c r="C20" s="4">
        <f>AVERAGE(B17:B20)</f>
        <v>47723175.3515625</v>
      </c>
      <c r="D20" s="4"/>
      <c r="E20" s="4"/>
      <c r="F20" s="4"/>
    </row>
    <row r="21" spans="1:6" x14ac:dyDescent="0.45">
      <c r="A21" s="5">
        <v>40347</v>
      </c>
      <c r="B21" s="4">
        <v>47622045.90625</v>
      </c>
      <c r="C21" s="4">
        <f>AVERAGE(B18:B21)</f>
        <v>48348659.7578125</v>
      </c>
      <c r="D21" s="4"/>
      <c r="E21" s="4"/>
      <c r="F21" s="4"/>
    </row>
    <row r="22" spans="1:6" x14ac:dyDescent="0.45">
      <c r="A22" s="5">
        <v>40354</v>
      </c>
      <c r="B22" s="4">
        <v>46609036.40625</v>
      </c>
      <c r="C22" s="4">
        <f>AVERAGE(B19:B22)</f>
        <v>48061543.1953125</v>
      </c>
      <c r="D22" s="4"/>
      <c r="E22" s="4"/>
      <c r="F22" s="4"/>
    </row>
    <row r="23" spans="1:6" x14ac:dyDescent="0.45">
      <c r="A23" s="5">
        <v>40361</v>
      </c>
      <c r="B23" s="4">
        <v>48917484.6875</v>
      </c>
      <c r="C23" s="4">
        <f>AVERAGE(B20:B23)</f>
        <v>47743778.5078125</v>
      </c>
      <c r="D23" s="4"/>
      <c r="E23" s="4"/>
      <c r="F23" s="4"/>
    </row>
    <row r="24" spans="1:6" x14ac:dyDescent="0.45">
      <c r="A24" s="5">
        <v>40368</v>
      </c>
      <c r="B24" s="4">
        <v>47899529.1875</v>
      </c>
      <c r="C24" s="4">
        <f>AVERAGE(B21:B24)</f>
        <v>47762024.046875</v>
      </c>
      <c r="D24" s="4"/>
      <c r="E24" s="4"/>
      <c r="F24" s="4"/>
    </row>
    <row r="25" spans="1:6" x14ac:dyDescent="0.45">
      <c r="A25" s="5">
        <v>40375</v>
      </c>
      <c r="B25" s="4">
        <v>46243899.21875</v>
      </c>
      <c r="C25" s="4">
        <f>AVERAGE(B22:B25)</f>
        <v>47417487.375</v>
      </c>
      <c r="D25" s="4"/>
      <c r="E25" s="4"/>
      <c r="F25" s="4"/>
    </row>
    <row r="26" spans="1:6" x14ac:dyDescent="0.45">
      <c r="A26" s="5">
        <v>40382</v>
      </c>
      <c r="B26" s="4">
        <v>44888849.375</v>
      </c>
      <c r="C26" s="4">
        <f>AVERAGE(B23:B26)</f>
        <v>46987440.6171875</v>
      </c>
      <c r="D26" s="4"/>
      <c r="E26" s="4"/>
      <c r="F26" s="4"/>
    </row>
    <row r="27" spans="1:6" x14ac:dyDescent="0.45">
      <c r="A27" s="5">
        <v>40389</v>
      </c>
      <c r="B27" s="4">
        <v>44630363.15625</v>
      </c>
      <c r="C27" s="4">
        <f>AVERAGE(B24:B27)</f>
        <v>45915660.234375</v>
      </c>
      <c r="D27" s="4"/>
      <c r="E27" s="4"/>
      <c r="F27" s="4"/>
    </row>
    <row r="28" spans="1:6" x14ac:dyDescent="0.45">
      <c r="A28" s="5">
        <v>40396</v>
      </c>
      <c r="B28" s="4">
        <v>48204999.21875</v>
      </c>
      <c r="C28" s="4">
        <f>AVERAGE(B25:B28)</f>
        <v>45992027.7421875</v>
      </c>
      <c r="D28" s="4"/>
      <c r="E28" s="4"/>
      <c r="F28" s="4"/>
    </row>
    <row r="29" spans="1:6" x14ac:dyDescent="0.45">
      <c r="A29" s="5">
        <v>40403</v>
      </c>
      <c r="B29" s="4">
        <v>46464418.34375</v>
      </c>
      <c r="C29" s="4">
        <f>AVERAGE(B26:B29)</f>
        <v>46047157.5234375</v>
      </c>
      <c r="D29" s="4"/>
      <c r="E29" s="4"/>
      <c r="F29" s="4"/>
    </row>
    <row r="30" spans="1:6" x14ac:dyDescent="0.45">
      <c r="A30" s="5">
        <v>40410</v>
      </c>
      <c r="B30" s="4">
        <v>47060952.765625</v>
      </c>
      <c r="C30" s="4">
        <f>AVERAGE(B27:B30)</f>
        <v>46590183.37109375</v>
      </c>
      <c r="D30" s="4"/>
      <c r="E30" s="4"/>
      <c r="F30" s="4"/>
    </row>
    <row r="31" spans="1:6" x14ac:dyDescent="0.45">
      <c r="A31" s="5">
        <v>40417</v>
      </c>
      <c r="B31" s="4">
        <v>45909740.21875</v>
      </c>
      <c r="C31" s="4">
        <f>AVERAGE(B28:B31)</f>
        <v>46910027.63671875</v>
      </c>
      <c r="D31" s="4"/>
      <c r="E31" s="4"/>
      <c r="F31" s="4"/>
    </row>
    <row r="32" spans="1:6" x14ac:dyDescent="0.45">
      <c r="A32" s="5">
        <v>40424</v>
      </c>
      <c r="B32" s="4">
        <v>47194257.96875</v>
      </c>
      <c r="C32" s="4">
        <f>AVERAGE(B29:B32)</f>
        <v>46657342.32421875</v>
      </c>
      <c r="D32" s="4"/>
      <c r="E32" s="4"/>
      <c r="F32" s="4"/>
    </row>
    <row r="33" spans="1:6" x14ac:dyDescent="0.45">
      <c r="A33" s="5">
        <v>40431</v>
      </c>
      <c r="B33" s="4">
        <v>45634397.84375</v>
      </c>
      <c r="C33" s="4">
        <f>AVERAGE(B30:B33)</f>
        <v>46449837.19921875</v>
      </c>
      <c r="D33" s="4"/>
      <c r="E33" s="4"/>
      <c r="F33" s="4"/>
    </row>
    <row r="34" spans="1:6" x14ac:dyDescent="0.45">
      <c r="A34" s="5">
        <v>40438</v>
      </c>
      <c r="B34" s="4">
        <v>43080726.5</v>
      </c>
      <c r="C34" s="4">
        <f>AVERAGE(B31:B34)</f>
        <v>45454780.6328125</v>
      </c>
      <c r="D34" s="4"/>
      <c r="E34" s="4"/>
      <c r="F34" s="4"/>
    </row>
    <row r="35" spans="1:6" x14ac:dyDescent="0.45">
      <c r="A35" s="5">
        <v>40445</v>
      </c>
      <c r="B35" s="4">
        <v>41358514.40625</v>
      </c>
      <c r="C35" s="4">
        <f>AVERAGE(B32:B35)</f>
        <v>44316974.1796875</v>
      </c>
      <c r="D35" s="4"/>
      <c r="E35" s="4"/>
      <c r="F35" s="4"/>
    </row>
    <row r="36" spans="1:6" x14ac:dyDescent="0.45">
      <c r="A36" s="5">
        <v>40452</v>
      </c>
      <c r="B36" s="4">
        <v>42239875.734375</v>
      </c>
      <c r="C36" s="4">
        <f>AVERAGE(B33:B36)</f>
        <v>43078378.62109375</v>
      </c>
      <c r="D36" s="4"/>
      <c r="E36" s="4"/>
      <c r="F36" s="4"/>
    </row>
    <row r="37" spans="1:6" x14ac:dyDescent="0.45">
      <c r="A37" s="5">
        <v>40459</v>
      </c>
      <c r="B37" s="4">
        <v>45102974.4375</v>
      </c>
      <c r="C37" s="4">
        <f>AVERAGE(B34:B37)</f>
        <v>42945522.76953125</v>
      </c>
      <c r="D37" s="4"/>
      <c r="E37" s="4"/>
      <c r="F37" s="4"/>
    </row>
    <row r="38" spans="1:6" x14ac:dyDescent="0.45">
      <c r="A38" s="5">
        <v>40466</v>
      </c>
      <c r="B38" s="4">
        <v>43149473.453125</v>
      </c>
      <c r="C38" s="4">
        <f>AVERAGE(B35:B38)</f>
        <v>42962709.5078125</v>
      </c>
      <c r="D38" s="4"/>
      <c r="E38" s="4"/>
      <c r="F38" s="4"/>
    </row>
    <row r="39" spans="1:6" x14ac:dyDescent="0.45">
      <c r="A39" s="5">
        <v>40473</v>
      </c>
      <c r="B39" s="4">
        <v>43066669.421875</v>
      </c>
      <c r="C39" s="4">
        <f>AVERAGE(B36:B39)</f>
        <v>43389748.26171875</v>
      </c>
      <c r="D39" s="4"/>
      <c r="E39" s="4"/>
      <c r="F39" s="4"/>
    </row>
    <row r="40" spans="1:6" x14ac:dyDescent="0.45">
      <c r="A40" s="5">
        <v>40480</v>
      </c>
      <c r="B40" s="4">
        <v>43602830.96875</v>
      </c>
      <c r="C40" s="4">
        <f>AVERAGE(B37:B40)</f>
        <v>43730487.0703125</v>
      </c>
      <c r="D40" s="4"/>
      <c r="E40" s="4"/>
      <c r="F40" s="4"/>
    </row>
    <row r="41" spans="1:6" x14ac:dyDescent="0.45">
      <c r="A41" s="5">
        <v>40487</v>
      </c>
      <c r="B41" s="4">
        <v>45781982.078125</v>
      </c>
      <c r="C41" s="4">
        <f>AVERAGE(B38:B41)</f>
        <v>43900238.98046875</v>
      </c>
      <c r="D41" s="4"/>
      <c r="E41" s="4"/>
      <c r="F41" s="4"/>
    </row>
    <row r="42" spans="1:6" x14ac:dyDescent="0.45">
      <c r="A42" s="5">
        <v>40494</v>
      </c>
      <c r="B42" s="4">
        <v>46124800.90625</v>
      </c>
      <c r="C42" s="4">
        <f>AVERAGE(B39:B42)</f>
        <v>44644070.84375</v>
      </c>
      <c r="D42" s="4"/>
      <c r="E42" s="4"/>
      <c r="F42" s="4"/>
    </row>
    <row r="43" spans="1:6" x14ac:dyDescent="0.45">
      <c r="A43" s="5">
        <v>40501</v>
      </c>
      <c r="B43" s="4">
        <v>45125584.609375</v>
      </c>
      <c r="C43" s="4">
        <f>AVERAGE(B40:B43)</f>
        <v>45158799.640625</v>
      </c>
      <c r="D43" s="4"/>
      <c r="E43" s="4"/>
      <c r="F43" s="4"/>
    </row>
    <row r="44" spans="1:6" x14ac:dyDescent="0.45">
      <c r="A44" s="5">
        <v>40508</v>
      </c>
      <c r="B44" s="4">
        <v>65821003.28125</v>
      </c>
      <c r="C44" s="4">
        <f>AVERAGE(B41:B44)</f>
        <v>50713342.71875</v>
      </c>
      <c r="D44" s="4"/>
      <c r="E44" s="4"/>
      <c r="F44" s="4"/>
    </row>
    <row r="45" spans="1:6" x14ac:dyDescent="0.45">
      <c r="A45" s="5">
        <v>40515</v>
      </c>
      <c r="B45" s="4">
        <v>49909028.0625</v>
      </c>
      <c r="C45" s="4">
        <f>AVERAGE(B42:B45)</f>
        <v>51745104.21484375</v>
      </c>
      <c r="D45" s="4"/>
      <c r="E45" s="4"/>
      <c r="F45" s="4"/>
    </row>
    <row r="46" spans="1:6" x14ac:dyDescent="0.45">
      <c r="A46" s="5">
        <v>40522</v>
      </c>
      <c r="B46" s="4">
        <v>55666770.25</v>
      </c>
      <c r="C46" s="4">
        <f>AVERAGE(B43:B46)</f>
        <v>54130596.55078125</v>
      </c>
      <c r="D46" s="4"/>
      <c r="E46" s="4"/>
      <c r="F46" s="4"/>
    </row>
    <row r="47" spans="1:6" x14ac:dyDescent="0.45">
      <c r="A47" s="5">
        <v>40529</v>
      </c>
      <c r="B47" s="4">
        <v>61820799.796875</v>
      </c>
      <c r="C47" s="4">
        <f>AVERAGE(B44:B47)</f>
        <v>58304400.34765625</v>
      </c>
      <c r="D47" s="4"/>
      <c r="E47" s="4"/>
      <c r="F47" s="4"/>
    </row>
    <row r="48" spans="1:6" x14ac:dyDescent="0.45">
      <c r="A48" s="5">
        <v>40536</v>
      </c>
      <c r="B48" s="4">
        <v>80931415.734375</v>
      </c>
      <c r="C48" s="4">
        <f>AVERAGE(B45:B48)</f>
        <v>62082003.4609375</v>
      </c>
      <c r="D48" s="4"/>
      <c r="E48" s="4"/>
      <c r="F48" s="4"/>
    </row>
    <row r="49" spans="1:6" x14ac:dyDescent="0.45">
      <c r="A49" s="5">
        <v>40543</v>
      </c>
      <c r="B49" s="4">
        <v>40432519.109375</v>
      </c>
      <c r="C49" s="4">
        <f>AVERAGE(B46:B49)</f>
        <v>59712876.22265625</v>
      </c>
      <c r="D49" s="4"/>
      <c r="E49" s="4"/>
      <c r="F49" s="4"/>
    </row>
    <row r="50" spans="1:6" x14ac:dyDescent="0.45">
      <c r="A50" s="5">
        <v>40550</v>
      </c>
      <c r="B50" s="4">
        <v>42775787.8125</v>
      </c>
      <c r="C50" s="4">
        <f>AVERAGE(B47:B50)</f>
        <v>56490130.61328125</v>
      </c>
      <c r="D50" s="4"/>
      <c r="E50" s="4"/>
      <c r="F50" s="4"/>
    </row>
    <row r="51" spans="1:6" x14ac:dyDescent="0.45">
      <c r="A51" s="5">
        <v>40557</v>
      </c>
      <c r="B51" s="4">
        <v>40673677.796875</v>
      </c>
      <c r="C51" s="4">
        <f>AVERAGE(B48:B51)</f>
        <v>51203350.11328125</v>
      </c>
      <c r="D51" s="4"/>
      <c r="E51" s="4"/>
      <c r="F51" s="4"/>
    </row>
    <row r="52" spans="1:6" x14ac:dyDescent="0.45">
      <c r="A52" s="5">
        <v>40564</v>
      </c>
      <c r="B52" s="4">
        <v>40654647.84375</v>
      </c>
      <c r="C52" s="4">
        <f>AVERAGE(B49:B52)</f>
        <v>41134158.140625</v>
      </c>
      <c r="D52" s="4"/>
      <c r="E52" s="4"/>
      <c r="F52" s="4"/>
    </row>
    <row r="53" spans="1:6" x14ac:dyDescent="0.45">
      <c r="A53" s="5">
        <v>40571</v>
      </c>
      <c r="B53" s="4">
        <v>39599852.96875</v>
      </c>
      <c r="C53" s="4">
        <f>AVERAGE(B50:B53)</f>
        <v>40925991.60546875</v>
      </c>
      <c r="D53" s="4"/>
      <c r="E53" s="4"/>
      <c r="F53" s="4"/>
    </row>
    <row r="54" spans="1:6" x14ac:dyDescent="0.45">
      <c r="A54" s="5">
        <v>40578</v>
      </c>
      <c r="B54" s="4">
        <v>46153110.9375</v>
      </c>
      <c r="C54" s="4">
        <f>AVERAGE(B51:B54)</f>
        <v>41770322.38671875</v>
      </c>
      <c r="D54" s="4"/>
      <c r="E54" s="4"/>
      <c r="F54" s="4"/>
    </row>
    <row r="55" spans="1:6" x14ac:dyDescent="0.45">
      <c r="A55" s="5">
        <v>40585</v>
      </c>
      <c r="B55" s="4">
        <v>47336192.5625</v>
      </c>
      <c r="C55" s="4">
        <f>AVERAGE(B52:B55)</f>
        <v>43435951.078125</v>
      </c>
      <c r="D55" s="4"/>
      <c r="E55" s="4"/>
      <c r="F55" s="4"/>
    </row>
    <row r="56" spans="1:6" x14ac:dyDescent="0.45">
      <c r="A56" s="5">
        <v>40592</v>
      </c>
      <c r="B56" s="4">
        <v>48716164.125</v>
      </c>
      <c r="C56" s="4">
        <f>AVERAGE(B53:B56)</f>
        <v>45451330.1484375</v>
      </c>
      <c r="D56" s="4"/>
      <c r="E56" s="4"/>
      <c r="F56" s="4"/>
    </row>
    <row r="57" spans="1:6" x14ac:dyDescent="0.45">
      <c r="A57" s="5">
        <v>40599</v>
      </c>
      <c r="B57" s="4">
        <v>44125859.859375</v>
      </c>
      <c r="C57" s="4">
        <f>AVERAGE(B54:B57)</f>
        <v>46582831.87109375</v>
      </c>
      <c r="D57" s="4"/>
      <c r="E57" s="4"/>
      <c r="F57" s="4"/>
    </row>
    <row r="58" spans="1:6" x14ac:dyDescent="0.45">
      <c r="A58" s="5">
        <v>40606</v>
      </c>
      <c r="B58" s="4">
        <v>46980603.609375</v>
      </c>
      <c r="C58" s="4">
        <f>AVERAGE(B55:B58)</f>
        <v>46789705.0390625</v>
      </c>
      <c r="D58" s="4"/>
      <c r="E58" s="4"/>
      <c r="F58" s="4"/>
    </row>
    <row r="59" spans="1:6" x14ac:dyDescent="0.45">
      <c r="A59" s="5">
        <v>40613</v>
      </c>
      <c r="B59" s="4">
        <v>44627319.125</v>
      </c>
      <c r="C59" s="4">
        <f>AVERAGE(B56:B59)</f>
        <v>46112486.6796875</v>
      </c>
      <c r="D59" s="4"/>
      <c r="E59" s="4"/>
      <c r="F59" s="4"/>
    </row>
    <row r="60" spans="1:6" x14ac:dyDescent="0.45">
      <c r="A60" s="5">
        <v>40620</v>
      </c>
      <c r="B60" s="4">
        <v>44872325.875</v>
      </c>
      <c r="C60" s="4">
        <f>AVERAGE(B57:B60)</f>
        <v>45151527.1171875</v>
      </c>
      <c r="D60" s="4"/>
      <c r="E60" s="4"/>
      <c r="F60" s="4"/>
    </row>
    <row r="61" spans="1:6" x14ac:dyDescent="0.45">
      <c r="A61" s="5">
        <v>40627</v>
      </c>
      <c r="B61" s="4">
        <v>42876199.359375</v>
      </c>
      <c r="C61" s="4">
        <f>AVERAGE(B58:B61)</f>
        <v>44839111.9921875</v>
      </c>
      <c r="D61" s="4"/>
      <c r="E61" s="4"/>
      <c r="F61" s="4"/>
    </row>
    <row r="62" spans="1:6" x14ac:dyDescent="0.45">
      <c r="A62" s="5">
        <v>40634</v>
      </c>
      <c r="B62" s="4">
        <v>43458991.21875</v>
      </c>
      <c r="C62" s="4">
        <f>AVERAGE(B59:B62)</f>
        <v>43958708.89453125</v>
      </c>
      <c r="D62" s="4"/>
      <c r="E62" s="4"/>
      <c r="F62" s="4"/>
    </row>
    <row r="63" spans="1:6" x14ac:dyDescent="0.45">
      <c r="A63" s="5">
        <v>40641</v>
      </c>
      <c r="B63" s="4">
        <v>45887466.84375</v>
      </c>
      <c r="C63" s="4">
        <f>AVERAGE(B60:B63)</f>
        <v>44273745.82421875</v>
      </c>
      <c r="D63" s="4"/>
      <c r="E63" s="4"/>
      <c r="F63" s="4"/>
    </row>
    <row r="64" spans="1:6" x14ac:dyDescent="0.45">
      <c r="A64" s="5">
        <v>40648</v>
      </c>
      <c r="B64" s="4">
        <v>44973328.125</v>
      </c>
      <c r="C64" s="4">
        <f>AVERAGE(B61:B64)</f>
        <v>44298996.38671875</v>
      </c>
      <c r="D64" s="4"/>
      <c r="E64" s="4"/>
      <c r="F64" s="4"/>
    </row>
    <row r="65" spans="1:6" x14ac:dyDescent="0.45">
      <c r="A65" s="5">
        <v>40655</v>
      </c>
      <c r="B65" s="4">
        <v>48676691.859375</v>
      </c>
      <c r="C65" s="4">
        <f>AVERAGE(B62:B65)</f>
        <v>45749119.51171875</v>
      </c>
      <c r="D65" s="4"/>
      <c r="E65" s="4"/>
      <c r="F65" s="4"/>
    </row>
    <row r="66" spans="1:6" x14ac:dyDescent="0.45">
      <c r="A66" s="5">
        <v>40662</v>
      </c>
      <c r="B66" s="4">
        <v>43530032.765625</v>
      </c>
      <c r="C66" s="4">
        <f>AVERAGE(B63:B66)</f>
        <v>45766879.8984375</v>
      </c>
      <c r="D66" s="4"/>
      <c r="E66" s="4"/>
      <c r="F66" s="4"/>
    </row>
    <row r="67" spans="1:6" x14ac:dyDescent="0.45">
      <c r="A67" s="5">
        <v>40669</v>
      </c>
      <c r="B67" s="4">
        <v>46861958.375</v>
      </c>
      <c r="C67" s="4">
        <f>AVERAGE(B64:B67)</f>
        <v>46010502.78125</v>
      </c>
      <c r="D67" s="4"/>
      <c r="E67" s="4"/>
      <c r="F67" s="4"/>
    </row>
    <row r="68" spans="1:6" x14ac:dyDescent="0.45">
      <c r="A68" s="5">
        <v>40676</v>
      </c>
      <c r="B68" s="4">
        <v>45446144.78125</v>
      </c>
      <c r="C68" s="4">
        <f>AVERAGE(B65:B68)</f>
        <v>46128706.9453125</v>
      </c>
      <c r="D68" s="4"/>
      <c r="E68" s="4"/>
      <c r="F68" s="4"/>
    </row>
    <row r="69" spans="1:6" x14ac:dyDescent="0.45">
      <c r="A69" s="5">
        <v>40683</v>
      </c>
      <c r="B69" s="4">
        <v>44046597.828125</v>
      </c>
      <c r="C69" s="4">
        <f>AVERAGE(B66:B69)</f>
        <v>44971183.4375</v>
      </c>
      <c r="D69" s="4"/>
      <c r="E69" s="4"/>
      <c r="F69" s="4"/>
    </row>
    <row r="70" spans="1:6" x14ac:dyDescent="0.45">
      <c r="A70" s="5">
        <v>40690</v>
      </c>
      <c r="B70" s="4">
        <v>45293456.8125</v>
      </c>
      <c r="C70" s="4">
        <f>AVERAGE(B67:B70)</f>
        <v>45412039.44921875</v>
      </c>
      <c r="D70" s="4"/>
      <c r="E70" s="4"/>
      <c r="F70" s="4"/>
    </row>
    <row r="71" spans="1:6" x14ac:dyDescent="0.45">
      <c r="A71" s="5">
        <v>40697</v>
      </c>
      <c r="B71" s="4">
        <v>48771994.25</v>
      </c>
      <c r="C71" s="4">
        <f>AVERAGE(B68:B71)</f>
        <v>45889548.41796875</v>
      </c>
      <c r="D71" s="4"/>
      <c r="E71" s="4"/>
      <c r="F71" s="4"/>
    </row>
    <row r="72" spans="1:6" x14ac:dyDescent="0.45">
      <c r="A72" s="5">
        <v>40704</v>
      </c>
      <c r="B72" s="4">
        <v>47669734.609375</v>
      </c>
      <c r="C72" s="4">
        <f>AVERAGE(B69:B72)</f>
        <v>46445445.875</v>
      </c>
      <c r="D72" s="4"/>
      <c r="E72" s="4"/>
      <c r="F72" s="4"/>
    </row>
    <row r="73" spans="1:6" x14ac:dyDescent="0.45">
      <c r="A73" s="5">
        <v>40711</v>
      </c>
      <c r="B73" s="4">
        <v>47447561.96875</v>
      </c>
      <c r="C73" s="4">
        <f>AVERAGE(B70:B73)</f>
        <v>47295686.91015625</v>
      </c>
      <c r="D73" s="4"/>
      <c r="E73" s="4"/>
      <c r="F73" s="4"/>
    </row>
    <row r="74" spans="1:6" x14ac:dyDescent="0.45">
      <c r="A74" s="5">
        <v>40718</v>
      </c>
      <c r="B74" s="4">
        <v>45884094.59375</v>
      </c>
      <c r="C74" s="4">
        <f>AVERAGE(B71:B74)</f>
        <v>47443346.35546875</v>
      </c>
      <c r="D74" s="4"/>
      <c r="E74" s="4"/>
      <c r="F74" s="4"/>
    </row>
    <row r="75" spans="1:6" x14ac:dyDescent="0.45">
      <c r="A75" s="5">
        <v>40725</v>
      </c>
      <c r="B75" s="4">
        <v>47578519.328125</v>
      </c>
      <c r="C75" s="4">
        <f>AVERAGE(B72:B75)</f>
        <v>47144977.625</v>
      </c>
      <c r="D75" s="4"/>
      <c r="E75" s="4"/>
      <c r="F75" s="4"/>
    </row>
    <row r="76" spans="1:6" x14ac:dyDescent="0.45">
      <c r="A76" s="5">
        <v>40732</v>
      </c>
      <c r="B76" s="4">
        <v>47859263.6875</v>
      </c>
      <c r="C76" s="4">
        <f>AVERAGE(B73:B76)</f>
        <v>47192359.89453125</v>
      </c>
      <c r="D76" s="4"/>
      <c r="E76" s="4"/>
      <c r="F76" s="4"/>
    </row>
    <row r="77" spans="1:6" x14ac:dyDescent="0.45">
      <c r="A77" s="5">
        <v>40739</v>
      </c>
      <c r="B77" s="4">
        <v>45515929.71875</v>
      </c>
      <c r="C77" s="4">
        <f>AVERAGE(B74:B77)</f>
        <v>46709451.83203125</v>
      </c>
      <c r="D77" s="4"/>
      <c r="E77" s="4"/>
      <c r="F77" s="4"/>
    </row>
    <row r="78" spans="1:6" x14ac:dyDescent="0.45">
      <c r="A78" s="5">
        <v>40746</v>
      </c>
      <c r="B78" s="4">
        <v>45274411.578125</v>
      </c>
      <c r="C78" s="4">
        <f>AVERAGE(B75:B78)</f>
        <v>46557031.078125</v>
      </c>
      <c r="D78" s="4"/>
      <c r="E78" s="4"/>
      <c r="F78" s="4"/>
    </row>
    <row r="79" spans="1:6" x14ac:dyDescent="0.45">
      <c r="A79" s="5">
        <v>40753</v>
      </c>
      <c r="B79" s="4">
        <v>43683273.765625</v>
      </c>
      <c r="C79" s="4">
        <f>AVERAGE(B76:B79)</f>
        <v>45583219.6875</v>
      </c>
      <c r="D79" s="4"/>
      <c r="E79" s="4"/>
      <c r="F79" s="4"/>
    </row>
    <row r="80" spans="1:6" x14ac:dyDescent="0.45">
      <c r="A80" s="5">
        <v>40760</v>
      </c>
      <c r="B80" s="4">
        <v>48015466.984375</v>
      </c>
      <c r="C80" s="4">
        <f>AVERAGE(B77:B80)</f>
        <v>45622270.51171875</v>
      </c>
      <c r="D80" s="4"/>
      <c r="E80" s="4"/>
      <c r="F80" s="4"/>
    </row>
    <row r="81" spans="1:6" x14ac:dyDescent="0.45">
      <c r="A81" s="5">
        <v>40767</v>
      </c>
      <c r="B81" s="4">
        <v>46249569.3125</v>
      </c>
      <c r="C81" s="4">
        <f>AVERAGE(B78:B81)</f>
        <v>45805680.41015625</v>
      </c>
      <c r="D81" s="4"/>
      <c r="E81" s="4"/>
      <c r="F81" s="4"/>
    </row>
    <row r="82" spans="1:6" x14ac:dyDescent="0.45">
      <c r="A82" s="5">
        <v>40774</v>
      </c>
      <c r="B82" s="4">
        <v>46917347.5625</v>
      </c>
      <c r="C82" s="4">
        <f>AVERAGE(B79:B82)</f>
        <v>46216414.40625</v>
      </c>
      <c r="D82" s="4"/>
      <c r="E82" s="4"/>
      <c r="F82" s="4"/>
    </row>
    <row r="83" spans="1:6" x14ac:dyDescent="0.45">
      <c r="A83" s="5">
        <v>40781</v>
      </c>
      <c r="B83" s="4">
        <v>47416948.4375</v>
      </c>
      <c r="C83" s="4">
        <f>AVERAGE(B80:B83)</f>
        <v>47149833.07421875</v>
      </c>
      <c r="D83" s="4"/>
      <c r="E83" s="4"/>
      <c r="F83" s="4"/>
    </row>
    <row r="84" spans="1:6" x14ac:dyDescent="0.45">
      <c r="A84" s="5">
        <v>40788</v>
      </c>
      <c r="B84" s="4">
        <v>45376623.359375</v>
      </c>
      <c r="C84" s="4">
        <f>AVERAGE(B81:B84)</f>
        <v>46490122.16796875</v>
      </c>
      <c r="D84" s="4"/>
      <c r="E84" s="4"/>
      <c r="F84" s="4"/>
    </row>
    <row r="85" spans="1:6" x14ac:dyDescent="0.45">
      <c r="A85" s="5">
        <v>40795</v>
      </c>
      <c r="B85" s="4">
        <v>46763227.59375</v>
      </c>
      <c r="C85" s="4">
        <f>AVERAGE(B82:B85)</f>
        <v>46618536.73828125</v>
      </c>
      <c r="D85" s="4"/>
      <c r="E85" s="4"/>
      <c r="F85" s="4"/>
    </row>
    <row r="86" spans="1:6" x14ac:dyDescent="0.45">
      <c r="A86" s="5">
        <v>40802</v>
      </c>
      <c r="B86" s="4">
        <v>43793959.90625</v>
      </c>
      <c r="C86" s="4">
        <f>AVERAGE(B83:B86)</f>
        <v>45837689.82421875</v>
      </c>
      <c r="D86" s="4"/>
      <c r="E86" s="4"/>
      <c r="F86" s="4"/>
    </row>
    <row r="87" spans="1:6" x14ac:dyDescent="0.45">
      <c r="A87" s="5">
        <v>40809</v>
      </c>
      <c r="B87" s="4">
        <v>42718096.625</v>
      </c>
      <c r="C87" s="4">
        <f>AVERAGE(B84:B87)</f>
        <v>44662976.87109375</v>
      </c>
      <c r="D87" s="4"/>
      <c r="E87" s="4"/>
      <c r="F87" s="4"/>
    </row>
    <row r="88" spans="1:6" x14ac:dyDescent="0.45">
      <c r="A88" s="5">
        <v>40816</v>
      </c>
      <c r="B88" s="4">
        <v>42195831.046875</v>
      </c>
      <c r="C88" s="4">
        <f>AVERAGE(B85:B88)</f>
        <v>43867778.79296875</v>
      </c>
      <c r="D88" s="4"/>
      <c r="E88" s="4"/>
      <c r="F88" s="4"/>
    </row>
    <row r="89" spans="1:6" x14ac:dyDescent="0.45">
      <c r="A89" s="5">
        <v>40823</v>
      </c>
      <c r="B89" s="4">
        <v>47211688.4375</v>
      </c>
      <c r="C89" s="4">
        <f>AVERAGE(B86:B89)</f>
        <v>43979894.00390625</v>
      </c>
      <c r="D89" s="4"/>
      <c r="E89" s="4"/>
      <c r="F89" s="4"/>
    </row>
    <row r="90" spans="1:6" x14ac:dyDescent="0.45">
      <c r="A90" s="5">
        <v>40830</v>
      </c>
      <c r="B90" s="4">
        <v>44374820.4375</v>
      </c>
      <c r="C90" s="4">
        <f>AVERAGE(B87:B90)</f>
        <v>44125109.13671875</v>
      </c>
      <c r="D90" s="4"/>
      <c r="E90" s="4"/>
      <c r="F90" s="4"/>
    </row>
    <row r="91" spans="1:6" x14ac:dyDescent="0.45">
      <c r="A91" s="5">
        <v>40837</v>
      </c>
      <c r="B91" s="4">
        <v>45818953.484375</v>
      </c>
      <c r="C91" s="4">
        <f>AVERAGE(B88:B91)</f>
        <v>44900323.3515625</v>
      </c>
      <c r="D91" s="4"/>
      <c r="E91" s="4"/>
      <c r="F91" s="4"/>
    </row>
    <row r="92" spans="1:6" x14ac:dyDescent="0.45">
      <c r="A92" s="5">
        <v>40844</v>
      </c>
      <c r="B92" s="4">
        <v>45855820.953125</v>
      </c>
      <c r="C92" s="4">
        <f>AVERAGE(B89:B92)</f>
        <v>45815320.828125</v>
      </c>
      <c r="D92" s="4"/>
      <c r="E92" s="4"/>
      <c r="F92" s="4"/>
    </row>
    <row r="93" spans="1:6" x14ac:dyDescent="0.45">
      <c r="A93" s="5">
        <v>40851</v>
      </c>
      <c r="B93" s="4">
        <v>48655544.15625</v>
      </c>
      <c r="C93" s="4">
        <f>AVERAGE(B90:B93)</f>
        <v>46176284.7578125</v>
      </c>
      <c r="D93" s="4"/>
      <c r="E93" s="4"/>
      <c r="F93" s="4"/>
    </row>
    <row r="94" spans="1:6" x14ac:dyDescent="0.45">
      <c r="A94" s="5">
        <v>40858</v>
      </c>
      <c r="B94" s="4">
        <v>48474224.46875</v>
      </c>
      <c r="C94" s="4">
        <f>AVERAGE(B91:B94)</f>
        <v>47201135.765625</v>
      </c>
      <c r="D94" s="4"/>
      <c r="E94" s="4"/>
      <c r="F94" s="4"/>
    </row>
    <row r="95" spans="1:6" x14ac:dyDescent="0.45">
      <c r="A95" s="5">
        <v>40865</v>
      </c>
      <c r="B95" s="4">
        <v>46438980.53125</v>
      </c>
      <c r="C95" s="4">
        <f>AVERAGE(B92:B95)</f>
        <v>47356142.52734375</v>
      </c>
      <c r="D95" s="4"/>
      <c r="E95" s="4"/>
      <c r="F95" s="4"/>
    </row>
    <row r="96" spans="1:6" x14ac:dyDescent="0.45">
      <c r="A96" s="5">
        <v>40872</v>
      </c>
      <c r="B96" s="4">
        <v>66593605.03125</v>
      </c>
      <c r="C96" s="4">
        <f>AVERAGE(B93:B96)</f>
        <v>52540588.546875</v>
      </c>
      <c r="D96" s="4"/>
      <c r="E96" s="4"/>
      <c r="F96" s="4"/>
    </row>
    <row r="97" spans="1:6" x14ac:dyDescent="0.45">
      <c r="A97" s="5">
        <v>40879</v>
      </c>
      <c r="B97" s="4">
        <v>49390556.46875</v>
      </c>
      <c r="C97" s="4">
        <f>AVERAGE(B94:B97)</f>
        <v>52724341.625</v>
      </c>
      <c r="D97" s="4"/>
      <c r="E97" s="4"/>
      <c r="F97" s="4"/>
    </row>
    <row r="98" spans="1:6" x14ac:dyDescent="0.45">
      <c r="A98" s="5">
        <v>40886</v>
      </c>
      <c r="B98" s="4">
        <v>55561147.78125</v>
      </c>
      <c r="C98" s="4">
        <f>AVERAGE(B95:B98)</f>
        <v>54496072.453125</v>
      </c>
      <c r="D98" s="4"/>
      <c r="E98" s="4"/>
      <c r="F98" s="4"/>
    </row>
    <row r="99" spans="1:6" x14ac:dyDescent="0.45">
      <c r="A99" s="5">
        <v>40893</v>
      </c>
      <c r="B99" s="4">
        <v>60085695.90625</v>
      </c>
      <c r="C99" s="4">
        <f>AVERAGE(B96:B99)</f>
        <v>57907751.296875</v>
      </c>
      <c r="D99" s="4"/>
      <c r="E99" s="4"/>
      <c r="F99" s="4"/>
    </row>
    <row r="100" spans="1:6" x14ac:dyDescent="0.45">
      <c r="A100" s="5">
        <v>40900</v>
      </c>
      <c r="B100" s="4">
        <v>76998241.0625</v>
      </c>
      <c r="C100" s="4">
        <f>AVERAGE(B97:B100)</f>
        <v>60508910.3046875</v>
      </c>
      <c r="D100" s="4"/>
      <c r="E100" s="4"/>
      <c r="F100" s="4"/>
    </row>
    <row r="101" spans="1:6" x14ac:dyDescent="0.45">
      <c r="A101" s="5">
        <v>40907</v>
      </c>
      <c r="B101" s="4">
        <v>46042461.046875</v>
      </c>
      <c r="C101" s="4">
        <f>AVERAGE(B98:B101)</f>
        <v>59671886.44921875</v>
      </c>
      <c r="D101" s="4"/>
      <c r="E101" s="4"/>
      <c r="F101" s="4"/>
    </row>
    <row r="102" spans="1:6" x14ac:dyDescent="0.45">
      <c r="A102" s="5">
        <v>40914</v>
      </c>
      <c r="B102" s="4">
        <v>44955421.9375</v>
      </c>
      <c r="C102" s="4">
        <f>AVERAGE(B99:B102)</f>
        <v>57020454.98828125</v>
      </c>
      <c r="D102" s="4"/>
      <c r="E102" s="4"/>
      <c r="F102" s="4"/>
    </row>
    <row r="103" spans="1:6" x14ac:dyDescent="0.45">
      <c r="A103" s="5">
        <v>40921</v>
      </c>
      <c r="B103" s="4">
        <v>42023078.34375</v>
      </c>
      <c r="C103" s="4">
        <f>AVERAGE(B100:B103)</f>
        <v>52504800.59765625</v>
      </c>
      <c r="D103" s="4"/>
      <c r="E103" s="4"/>
      <c r="F103" s="4"/>
    </row>
    <row r="104" spans="1:6" x14ac:dyDescent="0.45">
      <c r="A104" s="5">
        <v>40928</v>
      </c>
      <c r="B104" s="4">
        <v>42080996.671875</v>
      </c>
      <c r="C104" s="4">
        <f>AVERAGE(B101:B104)</f>
        <v>43775489.5</v>
      </c>
      <c r="D104" s="4"/>
      <c r="E104" s="4"/>
      <c r="F104" s="4"/>
    </row>
    <row r="105" spans="1:6" x14ac:dyDescent="0.45">
      <c r="A105" s="5">
        <v>40935</v>
      </c>
      <c r="B105" s="4">
        <v>39834974.703125</v>
      </c>
      <c r="C105" s="4">
        <f>AVERAGE(B102:B105)</f>
        <v>42223617.9140625</v>
      </c>
      <c r="D105" s="4"/>
      <c r="E105" s="4"/>
      <c r="F105" s="4"/>
    </row>
    <row r="106" spans="1:6" x14ac:dyDescent="0.45">
      <c r="A106" s="5">
        <v>40942</v>
      </c>
      <c r="B106" s="4">
        <v>46085607.96875</v>
      </c>
      <c r="C106" s="4">
        <f>AVERAGE(B103:B106)</f>
        <v>42506164.421875</v>
      </c>
      <c r="D106" s="4"/>
      <c r="E106" s="4"/>
      <c r="F106" s="4"/>
    </row>
    <row r="107" spans="1:6" x14ac:dyDescent="0.45">
      <c r="A107" s="5">
        <v>40949</v>
      </c>
      <c r="B107" s="4">
        <v>50009408.03125</v>
      </c>
      <c r="C107" s="4">
        <f>AVERAGE(B104:B107)</f>
        <v>44502746.84375</v>
      </c>
      <c r="D107" s="4"/>
      <c r="E107" s="4"/>
      <c r="F107" s="4"/>
    </row>
    <row r="108" spans="1:6" x14ac:dyDescent="0.45">
      <c r="A108" s="5">
        <v>40956</v>
      </c>
      <c r="B108" s="4">
        <v>50197057.25</v>
      </c>
      <c r="C108" s="4">
        <f>AVERAGE(B105:B108)</f>
        <v>46531761.98828125</v>
      </c>
      <c r="D108" s="4"/>
      <c r="E108" s="4"/>
      <c r="F108" s="4"/>
    </row>
    <row r="109" spans="1:6" x14ac:dyDescent="0.45">
      <c r="A109" s="5">
        <v>40963</v>
      </c>
      <c r="B109" s="4">
        <v>45771506.671875</v>
      </c>
      <c r="C109" s="4">
        <f>AVERAGE(B106:B109)</f>
        <v>48015894.98046875</v>
      </c>
      <c r="D109" s="4"/>
      <c r="E109" s="4"/>
      <c r="F109" s="4"/>
    </row>
    <row r="110" spans="1:6" x14ac:dyDescent="0.45">
      <c r="A110" s="5">
        <v>40970</v>
      </c>
      <c r="B110" s="4">
        <v>46861035.125</v>
      </c>
      <c r="C110" s="4">
        <f>AVERAGE(B107:B110)</f>
        <v>48209751.76953125</v>
      </c>
      <c r="D110" s="4"/>
      <c r="E110" s="4"/>
      <c r="F110" s="4"/>
    </row>
    <row r="111" spans="1:6" x14ac:dyDescent="0.45">
      <c r="A111" s="5">
        <v>40977</v>
      </c>
      <c r="B111" s="4">
        <v>47480454.09375</v>
      </c>
      <c r="C111" s="4">
        <f>AVERAGE(B108:B111)</f>
        <v>47577513.28515625</v>
      </c>
      <c r="D111" s="4"/>
      <c r="E111" s="4"/>
      <c r="F111" s="4"/>
    </row>
    <row r="112" spans="1:6" x14ac:dyDescent="0.45">
      <c r="A112" s="5">
        <v>40984</v>
      </c>
      <c r="B112" s="4">
        <v>46901504.84375</v>
      </c>
      <c r="C112" s="4">
        <f>AVERAGE(B109:B112)</f>
        <v>46753625.18359375</v>
      </c>
      <c r="D112" s="4"/>
      <c r="E112" s="4"/>
      <c r="F112" s="4"/>
    </row>
    <row r="113" spans="1:6" x14ac:dyDescent="0.45">
      <c r="A113" s="5">
        <v>40991</v>
      </c>
      <c r="B113" s="4">
        <v>44993794.65625</v>
      </c>
      <c r="C113" s="4">
        <f>AVERAGE(B110:B113)</f>
        <v>46559197.1796875</v>
      </c>
      <c r="D113" s="4"/>
      <c r="E113" s="4"/>
      <c r="F113" s="4"/>
    </row>
    <row r="114" spans="1:6" x14ac:dyDescent="0.45">
      <c r="A114" s="5">
        <v>40998</v>
      </c>
      <c r="B114" s="4">
        <v>45272862.078125</v>
      </c>
      <c r="C114" s="4">
        <f>AVERAGE(B111:B114)</f>
        <v>46162153.91796875</v>
      </c>
      <c r="D114" s="4"/>
      <c r="E114" s="4"/>
      <c r="F114" s="4"/>
    </row>
    <row r="115" spans="1:6" x14ac:dyDescent="0.45">
      <c r="A115" s="5">
        <v>41005</v>
      </c>
      <c r="B115" s="4">
        <v>53502316.0625</v>
      </c>
      <c r="C115" s="4">
        <f>AVERAGE(B112:B115)</f>
        <v>47667619.41015625</v>
      </c>
      <c r="D115" s="4"/>
      <c r="E115" s="4"/>
      <c r="F115" s="4"/>
    </row>
    <row r="116" spans="1:6" x14ac:dyDescent="0.45">
      <c r="A116" s="5">
        <v>41012</v>
      </c>
      <c r="B116" s="4">
        <v>46629261.90625</v>
      </c>
      <c r="C116" s="4">
        <f>AVERAGE(B113:B116)</f>
        <v>47599558.67578125</v>
      </c>
      <c r="D116" s="4"/>
      <c r="E116" s="4"/>
      <c r="F116" s="4"/>
    </row>
    <row r="117" spans="1:6" x14ac:dyDescent="0.45">
      <c r="A117" s="5">
        <v>41019</v>
      </c>
      <c r="B117" s="4">
        <v>45072530.046875</v>
      </c>
      <c r="C117" s="4">
        <f>AVERAGE(B114:B117)</f>
        <v>47619242.5234375</v>
      </c>
      <c r="D117" s="4"/>
      <c r="E117" s="4"/>
      <c r="F117" s="4"/>
    </row>
    <row r="118" spans="1:6" x14ac:dyDescent="0.45">
      <c r="A118" s="5">
        <v>41026</v>
      </c>
      <c r="B118" s="4">
        <v>43716798.875</v>
      </c>
      <c r="C118" s="4">
        <f>AVERAGE(B115:B118)</f>
        <v>47230226.72265625</v>
      </c>
      <c r="D118" s="4"/>
      <c r="E118" s="4"/>
      <c r="F118" s="4"/>
    </row>
    <row r="119" spans="1:6" x14ac:dyDescent="0.45">
      <c r="A119" s="5">
        <v>41033</v>
      </c>
      <c r="B119" s="4">
        <v>47124198</v>
      </c>
      <c r="C119" s="4">
        <f>AVERAGE(B116:B119)</f>
        <v>45635697.20703125</v>
      </c>
      <c r="D119" s="4"/>
      <c r="E119" s="4"/>
      <c r="F119" s="4"/>
    </row>
    <row r="120" spans="1:6" x14ac:dyDescent="0.45">
      <c r="A120" s="5">
        <v>41040</v>
      </c>
      <c r="B120" s="4">
        <v>46925878.875</v>
      </c>
      <c r="C120" s="4">
        <f>AVERAGE(B117:B120)</f>
        <v>45709851.44921875</v>
      </c>
      <c r="D120" s="4"/>
      <c r="E120" s="4"/>
      <c r="F120" s="4"/>
    </row>
    <row r="121" spans="1:6" x14ac:dyDescent="0.45">
      <c r="A121" s="5">
        <v>41047</v>
      </c>
      <c r="B121" s="4">
        <v>46823939.15625</v>
      </c>
      <c r="C121" s="4">
        <f>AVERAGE(B118:B121)</f>
        <v>46147703.7265625</v>
      </c>
      <c r="D121" s="4"/>
      <c r="E121" s="4"/>
      <c r="F121" s="4"/>
    </row>
    <row r="122" spans="1:6" x14ac:dyDescent="0.45">
      <c r="A122" s="5">
        <v>41054</v>
      </c>
      <c r="B122" s="4">
        <v>47892463.359375</v>
      </c>
      <c r="C122" s="4">
        <f>AVERAGE(B119:B122)</f>
        <v>47191619.84765625</v>
      </c>
      <c r="D122" s="4"/>
      <c r="E122" s="4"/>
      <c r="F122" s="4"/>
    </row>
    <row r="123" spans="1:6" x14ac:dyDescent="0.45">
      <c r="A123" s="5">
        <v>41061</v>
      </c>
      <c r="B123" s="4">
        <v>48281649.75</v>
      </c>
      <c r="C123" s="4">
        <f>AVERAGE(B120:B123)</f>
        <v>47480982.78515625</v>
      </c>
      <c r="D123" s="4"/>
      <c r="E123" s="4"/>
      <c r="F123" s="4"/>
    </row>
    <row r="124" spans="1:6" x14ac:dyDescent="0.45">
      <c r="A124" s="5">
        <v>41068</v>
      </c>
      <c r="B124" s="4">
        <v>49651172.34375</v>
      </c>
      <c r="C124" s="4">
        <f>AVERAGE(B121:B124)</f>
        <v>48162306.15234375</v>
      </c>
      <c r="D124" s="4"/>
      <c r="E124" s="4"/>
      <c r="F124" s="4"/>
    </row>
    <row r="125" spans="1:6" x14ac:dyDescent="0.45">
      <c r="A125" s="5">
        <v>41075</v>
      </c>
      <c r="B125" s="4">
        <v>48412110.5</v>
      </c>
      <c r="C125" s="4">
        <f>AVERAGE(B122:B125)</f>
        <v>48559348.98828125</v>
      </c>
      <c r="D125" s="4"/>
      <c r="E125" s="4"/>
      <c r="F125" s="4"/>
    </row>
    <row r="126" spans="1:6" x14ac:dyDescent="0.45">
      <c r="A126" s="5">
        <v>41082</v>
      </c>
      <c r="B126" s="4">
        <v>47668284.890625</v>
      </c>
      <c r="C126" s="4">
        <f>AVERAGE(B123:B126)</f>
        <v>48503304.37109375</v>
      </c>
      <c r="D126" s="4"/>
      <c r="E126" s="4"/>
      <c r="F126" s="4"/>
    </row>
    <row r="127" spans="1:6" x14ac:dyDescent="0.45">
      <c r="A127" s="5">
        <v>41089</v>
      </c>
      <c r="B127" s="4">
        <v>46597112.28125</v>
      </c>
      <c r="C127" s="4">
        <f>AVERAGE(B124:B127)</f>
        <v>48082170.00390625</v>
      </c>
      <c r="D127" s="4"/>
      <c r="E127" s="4"/>
      <c r="F127" s="4"/>
    </row>
    <row r="128" spans="1:6" x14ac:dyDescent="0.45">
      <c r="A128" s="5">
        <v>41096</v>
      </c>
      <c r="B128" s="4">
        <v>51253021.34375</v>
      </c>
      <c r="C128" s="4">
        <f>AVERAGE(B125:B128)</f>
        <v>48482632.25390625</v>
      </c>
      <c r="D128" s="4"/>
      <c r="E128" s="4"/>
      <c r="F128" s="4"/>
    </row>
    <row r="129" spans="1:6" x14ac:dyDescent="0.45">
      <c r="A129" s="5">
        <v>41103</v>
      </c>
      <c r="B129" s="4">
        <v>46099731.6875</v>
      </c>
      <c r="C129" s="4">
        <f>AVERAGE(B126:B129)</f>
        <v>47904537.55078125</v>
      </c>
      <c r="D129" s="4"/>
      <c r="E129" s="4"/>
      <c r="F129" s="4"/>
    </row>
    <row r="130" spans="1:6" x14ac:dyDescent="0.45">
      <c r="A130" s="5">
        <v>41110</v>
      </c>
      <c r="B130" s="4">
        <v>46059543.359375</v>
      </c>
      <c r="C130" s="4">
        <f>AVERAGE(B127:B130)</f>
        <v>47502352.16796875</v>
      </c>
      <c r="D130" s="4"/>
      <c r="E130" s="4"/>
      <c r="F130" s="4"/>
    </row>
    <row r="131" spans="1:6" x14ac:dyDescent="0.45">
      <c r="A131" s="5">
        <v>41117</v>
      </c>
      <c r="B131" s="4">
        <v>44097154.71875</v>
      </c>
      <c r="C131" s="4">
        <f>AVERAGE(B128:B131)</f>
        <v>46877362.77734375</v>
      </c>
      <c r="D131" s="4"/>
      <c r="E131" s="4"/>
      <c r="F131" s="4"/>
    </row>
    <row r="132" spans="1:6" x14ac:dyDescent="0.45">
      <c r="A132" s="5">
        <v>41124</v>
      </c>
      <c r="B132" s="4">
        <v>47485899.90625</v>
      </c>
      <c r="C132" s="4">
        <f>AVERAGE(B129:B132)</f>
        <v>45935582.41796875</v>
      </c>
      <c r="D132" s="4"/>
      <c r="E132" s="4"/>
      <c r="F132" s="4"/>
    </row>
    <row r="133" spans="1:6" x14ac:dyDescent="0.45">
      <c r="A133" s="5">
        <v>41131</v>
      </c>
      <c r="B133" s="4">
        <v>47403451.1875</v>
      </c>
      <c r="C133" s="4">
        <f>AVERAGE(B130:B133)</f>
        <v>46261512.29296875</v>
      </c>
      <c r="D133" s="4"/>
      <c r="E133" s="4"/>
      <c r="F133" s="4"/>
    </row>
    <row r="134" spans="1:6" x14ac:dyDescent="0.45">
      <c r="A134" s="5">
        <v>41138</v>
      </c>
      <c r="B134" s="4">
        <v>47354451.90625</v>
      </c>
      <c r="C134" s="4">
        <f>AVERAGE(B131:B134)</f>
        <v>46585239.4296875</v>
      </c>
      <c r="D134" s="4"/>
      <c r="E134" s="4"/>
      <c r="F134" s="4"/>
    </row>
    <row r="135" spans="1:6" x14ac:dyDescent="0.45">
      <c r="A135" s="5">
        <v>41145</v>
      </c>
      <c r="B135" s="4">
        <v>47447323.5625</v>
      </c>
      <c r="C135" s="4">
        <f>AVERAGE(B132:B135)</f>
        <v>47422781.640625</v>
      </c>
      <c r="D135" s="4"/>
      <c r="E135" s="4"/>
      <c r="F135" s="4"/>
    </row>
    <row r="136" spans="1:6" x14ac:dyDescent="0.45">
      <c r="A136" s="5">
        <v>41152</v>
      </c>
      <c r="B136" s="4">
        <v>47159639.25</v>
      </c>
      <c r="C136" s="4">
        <f>AVERAGE(B133:B136)</f>
        <v>47341216.4765625</v>
      </c>
      <c r="D136" s="4"/>
      <c r="E136" s="4"/>
      <c r="F136" s="4"/>
    </row>
    <row r="137" spans="1:6" x14ac:dyDescent="0.45">
      <c r="A137" s="5">
        <v>41159</v>
      </c>
      <c r="B137" s="4">
        <v>48330059.53125</v>
      </c>
      <c r="C137" s="4">
        <f>AVERAGE(B134:B137)</f>
        <v>47572868.5625</v>
      </c>
      <c r="D137" s="4"/>
      <c r="E137" s="4"/>
      <c r="F137" s="4"/>
    </row>
    <row r="138" spans="1:6" x14ac:dyDescent="0.45">
      <c r="A138" s="5">
        <v>41166</v>
      </c>
      <c r="B138" s="4">
        <v>44226038.53125</v>
      </c>
      <c r="C138" s="4">
        <f>AVERAGE(B135:B138)</f>
        <v>46790765.21875</v>
      </c>
      <c r="D138" s="4"/>
      <c r="E138" s="4"/>
      <c r="F138" s="4"/>
    </row>
    <row r="139" spans="1:6" x14ac:dyDescent="0.45">
      <c r="A139" s="3">
        <v>41173</v>
      </c>
      <c r="B139" s="2">
        <v>44354546.734375</v>
      </c>
      <c r="C139" s="2">
        <f>AVERAGE(B136:B139)</f>
        <v>46017571.01171875</v>
      </c>
      <c r="D139" s="2"/>
      <c r="E139" s="2"/>
      <c r="F139" s="2"/>
    </row>
    <row r="140" spans="1:6" x14ac:dyDescent="0.45">
      <c r="A140" s="3">
        <v>41180</v>
      </c>
      <c r="B140" s="2">
        <v>43734899.484375</v>
      </c>
      <c r="C140" s="2">
        <f>AVERAGE(B137:B140)</f>
        <v>45161386.0703125</v>
      </c>
      <c r="D140" s="2"/>
      <c r="E140" s="2"/>
      <c r="F140" s="2"/>
    </row>
    <row r="141" spans="1:6" x14ac:dyDescent="0.45">
      <c r="A141" s="3">
        <v>41187</v>
      </c>
      <c r="B141" s="2">
        <v>47566639.40625</v>
      </c>
      <c r="C141" s="2">
        <f>AVERAGE(B138:B141)</f>
        <v>44970531.0390625</v>
      </c>
      <c r="D141" s="2"/>
      <c r="E141" s="2"/>
      <c r="F141" s="2"/>
    </row>
    <row r="142" spans="1:6" x14ac:dyDescent="0.45">
      <c r="A142" s="3">
        <v>41194</v>
      </c>
      <c r="B142" s="2">
        <v>46128514.0625</v>
      </c>
      <c r="C142" s="2">
        <f>AVERAGE(B139:B142)</f>
        <v>45446149.921875</v>
      </c>
      <c r="D142" s="2"/>
      <c r="E142" s="2"/>
      <c r="F142" s="2"/>
    </row>
    <row r="143" spans="1:6" x14ac:dyDescent="0.45">
      <c r="A143" s="3">
        <v>41201</v>
      </c>
      <c r="B143" s="2">
        <v>45122410.59375</v>
      </c>
      <c r="C143" s="2">
        <f>AVERAGE(B140:B143)</f>
        <v>45638115.88671875</v>
      </c>
      <c r="D143" s="2"/>
      <c r="E143" s="2"/>
      <c r="F143" s="2"/>
    </row>
    <row r="144" spans="1:6" x14ac:dyDescent="0.45">
      <c r="A144" s="3">
        <v>41208</v>
      </c>
      <c r="B144" s="2">
        <v>45544116.5</v>
      </c>
      <c r="C144" s="2">
        <f>AVERAGE(B141:B144)</f>
        <v>46090420.140625</v>
      </c>
      <c r="D144" s="2"/>
      <c r="E144" s="2"/>
      <c r="F144" s="2"/>
    </row>
    <row r="145" spans="1:6" x14ac:dyDescent="0.45">
      <c r="A145" s="3">
        <v>41215</v>
      </c>
      <c r="B145" s="2"/>
      <c r="C145" s="2"/>
      <c r="D145" s="1">
        <f>FORECAST(A145,$B$2:$B$144,$A$2:$A$144)</f>
        <v>47421229.356601804</v>
      </c>
      <c r="E145" s="1">
        <f>FORECAST(A145,$C$2:$C$144,$A$2:$A$144)</f>
        <v>47547721.550324388</v>
      </c>
      <c r="F145" s="1">
        <f>_xlfn.FORECAST.ETS(A145,$B$2:$B$144,$A$2:$A$144,13)</f>
        <v>48655113.494381838</v>
      </c>
    </row>
    <row r="146" spans="1:6" x14ac:dyDescent="0.45">
      <c r="A146" s="3">
        <v>41222</v>
      </c>
      <c r="B146" s="2"/>
      <c r="C146" s="2"/>
      <c r="D146" s="1">
        <f>FORECAST(A146,$B$2:$B$144,$A$2:$A$144)</f>
        <v>47425504.49350664</v>
      </c>
      <c r="E146" s="1">
        <f>FORECAST(A146,$C$2:$C$144,$A$2:$A$144)</f>
        <v>47553928.651893072</v>
      </c>
      <c r="F146" s="1">
        <f>_xlfn.FORECAST.ETS(A146,$B$2:$B$144,$A$2:$A$144,13)</f>
        <v>47346070.167640835</v>
      </c>
    </row>
    <row r="147" spans="1:6" x14ac:dyDescent="0.45">
      <c r="A147" s="3">
        <v>41229</v>
      </c>
      <c r="B147" s="2"/>
      <c r="C147" s="2"/>
      <c r="D147" s="1">
        <f>FORECAST(A147,$B$2:$B$144,$A$2:$A$144)</f>
        <v>47429779.630411476</v>
      </c>
      <c r="E147" s="1">
        <f>FORECAST(A147,$C$2:$C$144,$A$2:$A$144)</f>
        <v>47560135.753461756</v>
      </c>
      <c r="F147" s="1">
        <f>_xlfn.FORECAST.ETS(A147,$B$2:$B$144,$A$2:$A$144,13)</f>
        <v>47229754.057217889</v>
      </c>
    </row>
    <row r="148" spans="1:6" x14ac:dyDescent="0.45">
      <c r="A148" s="3">
        <v>41236</v>
      </c>
      <c r="B148" s="2"/>
      <c r="C148" s="2"/>
      <c r="D148" s="1">
        <f>FORECAST(A148,$B$2:$B$144,$A$2:$A$144)</f>
        <v>47434054.767316312</v>
      </c>
      <c r="E148" s="1">
        <f>FORECAST(A148,$C$2:$C$144,$A$2:$A$144)</f>
        <v>47566342.85503044</v>
      </c>
      <c r="F148" s="1">
        <f>_xlfn.FORECAST.ETS(A148,$B$2:$B$144,$A$2:$A$144,13)</f>
        <v>54652552.080201633</v>
      </c>
    </row>
    <row r="149" spans="1:6" x14ac:dyDescent="0.45">
      <c r="A149" s="3">
        <v>41243</v>
      </c>
      <c r="B149" s="2"/>
      <c r="C149" s="2"/>
      <c r="D149" s="1">
        <f>FORECAST(A149,$B$2:$B$144,$A$2:$A$144)</f>
        <v>47438329.904221147</v>
      </c>
      <c r="E149" s="1">
        <f>FORECAST(A149,$C$2:$C$144,$A$2:$A$144)</f>
        <v>47572549.956599124</v>
      </c>
      <c r="F149" s="1">
        <f>_xlfn.FORECAST.ETS(A149,$B$2:$B$144,$A$2:$A$144,13)</f>
        <v>50632090.88222973</v>
      </c>
    </row>
    <row r="150" spans="1:6" x14ac:dyDescent="0.45">
      <c r="A150" s="3">
        <v>41250</v>
      </c>
      <c r="B150" s="2"/>
      <c r="C150" s="2"/>
      <c r="D150" s="1">
        <f>FORECAST(A150,$B$2:$B$144,$A$2:$A$144)</f>
        <v>47442605.041125983</v>
      </c>
      <c r="E150" s="1">
        <f>FORECAST(A150,$C$2:$C$144,$A$2:$A$144)</f>
        <v>47578757.058167808</v>
      </c>
      <c r="F150" s="1">
        <f>_xlfn.FORECAST.ETS(A150,$B$2:$B$144,$A$2:$A$144,13)</f>
        <v>48518973.028540395</v>
      </c>
    </row>
    <row r="151" spans="1:6" x14ac:dyDescent="0.45">
      <c r="A151" s="3">
        <v>41257</v>
      </c>
      <c r="B151" s="2"/>
      <c r="C151" s="2"/>
      <c r="D151" s="1">
        <f>FORECAST(A151,$B$2:$B$144,$A$2:$A$144)</f>
        <v>47446880.178030819</v>
      </c>
      <c r="E151" s="1">
        <f>FORECAST(A151,$C$2:$C$144,$A$2:$A$144)</f>
        <v>47584964.159736492</v>
      </c>
      <c r="F151" s="1">
        <f>_xlfn.FORECAST.ETS(A151,$B$2:$B$144,$A$2:$A$144,13)</f>
        <v>47379656.692856058</v>
      </c>
    </row>
    <row r="152" spans="1:6" x14ac:dyDescent="0.45">
      <c r="A152" s="3">
        <v>41264</v>
      </c>
      <c r="B152" s="2"/>
      <c r="C152" s="2"/>
      <c r="D152" s="1">
        <f>FORECAST(A152,$B$2:$B$144,$A$2:$A$144)</f>
        <v>47451155.314935654</v>
      </c>
      <c r="E152" s="1">
        <f>FORECAST(A152,$C$2:$C$144,$A$2:$A$144)</f>
        <v>47591171.261305176</v>
      </c>
      <c r="F152" s="1">
        <f>_xlfn.FORECAST.ETS(A152,$B$2:$B$144,$A$2:$A$144,13)</f>
        <v>46223092.380532406</v>
      </c>
    </row>
    <row r="153" spans="1:6" x14ac:dyDescent="0.45">
      <c r="A153" s="3">
        <v>41271</v>
      </c>
      <c r="B153" s="2"/>
      <c r="C153" s="2"/>
      <c r="D153" s="1">
        <f>FORECAST(A153,$B$2:$B$144,$A$2:$A$144)</f>
        <v>47455430.45184049</v>
      </c>
      <c r="E153" s="1">
        <f>FORECAST(A153,$C$2:$C$144,$A$2:$A$144)</f>
        <v>47597378.36287386</v>
      </c>
      <c r="F153" s="1">
        <f>_xlfn.FORECAST.ETS(A153,$B$2:$B$144,$A$2:$A$144,13)</f>
        <v>49272928.314215139</v>
      </c>
    </row>
    <row r="154" spans="1:6" x14ac:dyDescent="0.45">
      <c r="A154" s="3">
        <v>41278</v>
      </c>
      <c r="B154" s="2"/>
      <c r="C154" s="2"/>
      <c r="D154" s="1">
        <f>FORECAST(A154,$B$2:$B$144,$A$2:$A$144)</f>
        <v>47459705.588745326</v>
      </c>
      <c r="E154" s="1">
        <f>FORECAST(A154,$C$2:$C$144,$A$2:$A$144)</f>
        <v>47603585.464442544</v>
      </c>
      <c r="F154" s="1">
        <f>_xlfn.FORECAST.ETS(A154,$B$2:$B$144,$A$2:$A$144,13)</f>
        <v>48685557.788455673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&amp; 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Farhaz Ahammed Kolathoor</dc:creator>
  <cp:lastModifiedBy>Farhaz Ahammed Kolathoor</cp:lastModifiedBy>
  <dcterms:created xsi:type="dcterms:W3CDTF">2025-12-11T08:35:04Z</dcterms:created>
  <dcterms:modified xsi:type="dcterms:W3CDTF">2025-12-11T08:36:50Z</dcterms:modified>
</cp:coreProperties>
</file>