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ocuments\SAIT\Data Analytics\✱415\Final Project SQL Exports\"/>
    </mc:Choice>
  </mc:AlternateContent>
  <xr:revisionPtr revIDLastSave="0" documentId="8_{829DCCE8-307B-4C85-8E68-DB4A0652955A}" xr6:coauthVersionLast="47" xr6:coauthVersionMax="47" xr10:uidLastSave="{00000000-0000-0000-0000-000000000000}"/>
  <bookViews>
    <workbookView xWindow="-98" yWindow="-98" windowWidth="22245" windowHeight="13321" xr2:uid="{8FE5FD2A-C26D-4E9B-852A-8293C6D40EF3}"/>
  </bookViews>
  <sheets>
    <sheet name="KN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H9" i="1"/>
  <c r="I14" i="1"/>
  <c r="H15" i="1"/>
  <c r="I18" i="1"/>
  <c r="H19" i="1"/>
  <c r="I19" i="1"/>
  <c r="I20" i="1"/>
  <c r="H21" i="1"/>
  <c r="I25" i="1"/>
  <c r="I26" i="1"/>
  <c r="H27" i="1"/>
  <c r="I27" i="1"/>
  <c r="I28" i="1"/>
  <c r="H29" i="1"/>
  <c r="I33" i="1"/>
  <c r="I34" i="1"/>
  <c r="H35" i="1"/>
  <c r="I35" i="1"/>
  <c r="I36" i="1"/>
  <c r="H37" i="1"/>
  <c r="I41" i="1"/>
  <c r="I42" i="1"/>
  <c r="H43" i="1"/>
  <c r="I43" i="1"/>
  <c r="I44" i="1"/>
  <c r="H45" i="1"/>
  <c r="B49" i="1"/>
  <c r="C49" i="1"/>
  <c r="D49" i="1"/>
  <c r="E49" i="1"/>
  <c r="F49" i="1"/>
  <c r="B50" i="1"/>
  <c r="C50" i="1"/>
  <c r="H3" i="1" s="1"/>
  <c r="D50" i="1"/>
  <c r="E50" i="1"/>
  <c r="J26" i="1" s="1"/>
  <c r="F50" i="1"/>
  <c r="K2" i="1" l="1"/>
  <c r="K4" i="1"/>
  <c r="K6" i="1"/>
  <c r="K8" i="1"/>
  <c r="K10" i="1"/>
  <c r="K12" i="1"/>
  <c r="K14" i="1"/>
  <c r="K16" i="1"/>
  <c r="K18" i="1"/>
  <c r="K3" i="1"/>
  <c r="K5" i="1"/>
  <c r="K7" i="1"/>
  <c r="K9" i="1"/>
  <c r="K11" i="1"/>
  <c r="K19" i="1"/>
  <c r="K26" i="1"/>
  <c r="K27" i="1"/>
  <c r="K34" i="1"/>
  <c r="K35" i="1"/>
  <c r="K42" i="1"/>
  <c r="K43" i="1"/>
  <c r="K13" i="1"/>
  <c r="K17" i="1"/>
  <c r="K20" i="1"/>
  <c r="K21" i="1"/>
  <c r="K28" i="1"/>
  <c r="K29" i="1"/>
  <c r="K36" i="1"/>
  <c r="K37" i="1"/>
  <c r="K44" i="1"/>
  <c r="K45" i="1"/>
  <c r="G2" i="1"/>
  <c r="G4" i="1"/>
  <c r="G6" i="1"/>
  <c r="G8" i="1"/>
  <c r="G10" i="1"/>
  <c r="L10" i="1" s="1"/>
  <c r="G12" i="1"/>
  <c r="G14" i="1"/>
  <c r="G16" i="1"/>
  <c r="G18" i="1"/>
  <c r="L18" i="1" s="1"/>
  <c r="G3" i="1"/>
  <c r="G5" i="1"/>
  <c r="G7" i="1"/>
  <c r="G9" i="1"/>
  <c r="L9" i="1" s="1"/>
  <c r="G11" i="1"/>
  <c r="G13" i="1"/>
  <c r="G24" i="1"/>
  <c r="G25" i="1"/>
  <c r="L25" i="1" s="1"/>
  <c r="G32" i="1"/>
  <c r="G33" i="1"/>
  <c r="G40" i="1"/>
  <c r="G41" i="1"/>
  <c r="G15" i="1"/>
  <c r="G19" i="1"/>
  <c r="G26" i="1"/>
  <c r="G27" i="1"/>
  <c r="L27" i="1" s="1"/>
  <c r="G34" i="1"/>
  <c r="G35" i="1"/>
  <c r="G42" i="1"/>
  <c r="G43" i="1"/>
  <c r="L43" i="1" s="1"/>
  <c r="J34" i="1"/>
  <c r="K32" i="1"/>
  <c r="K15" i="1"/>
  <c r="J3" i="1"/>
  <c r="G45" i="1"/>
  <c r="J32" i="1"/>
  <c r="G29" i="1"/>
  <c r="J2" i="1"/>
  <c r="J10" i="1"/>
  <c r="J14" i="1"/>
  <c r="J18" i="1"/>
  <c r="J20" i="1"/>
  <c r="J28" i="1"/>
  <c r="J36" i="1"/>
  <c r="J44" i="1"/>
  <c r="J8" i="1"/>
  <c r="J22" i="1"/>
  <c r="J30" i="1"/>
  <c r="J38" i="1"/>
  <c r="J46" i="1"/>
  <c r="J6" i="1"/>
  <c r="K41" i="1"/>
  <c r="G38" i="1"/>
  <c r="G31" i="1"/>
  <c r="L31" i="1" s="1"/>
  <c r="K25" i="1"/>
  <c r="G22" i="1"/>
  <c r="K46" i="1"/>
  <c r="K39" i="1"/>
  <c r="G36" i="1"/>
  <c r="K30" i="1"/>
  <c r="K23" i="1"/>
  <c r="G20" i="1"/>
  <c r="G46" i="1"/>
  <c r="J42" i="1"/>
  <c r="K40" i="1"/>
  <c r="G39" i="1"/>
  <c r="K33" i="1"/>
  <c r="G30" i="1"/>
  <c r="K24" i="1"/>
  <c r="G23" i="1"/>
  <c r="G17" i="1"/>
  <c r="G44" i="1"/>
  <c r="J40" i="1"/>
  <c r="K38" i="1"/>
  <c r="G37" i="1"/>
  <c r="K31" i="1"/>
  <c r="G28" i="1"/>
  <c r="J24" i="1"/>
  <c r="K22" i="1"/>
  <c r="G21" i="1"/>
  <c r="J16" i="1"/>
  <c r="J12" i="1"/>
  <c r="J4" i="1"/>
  <c r="I3" i="1"/>
  <c r="I5" i="1"/>
  <c r="I7" i="1"/>
  <c r="I9" i="1"/>
  <c r="I11" i="1"/>
  <c r="I13" i="1"/>
  <c r="I15" i="1"/>
  <c r="I17" i="1"/>
  <c r="I2" i="1"/>
  <c r="I4" i="1"/>
  <c r="I6" i="1"/>
  <c r="I8" i="1"/>
  <c r="I10" i="1"/>
  <c r="I12" i="1"/>
  <c r="H41" i="1"/>
  <c r="I40" i="1"/>
  <c r="I39" i="1"/>
  <c r="H33" i="1"/>
  <c r="I32" i="1"/>
  <c r="I31" i="1"/>
  <c r="H25" i="1"/>
  <c r="I24" i="1"/>
  <c r="I23" i="1"/>
  <c r="I16" i="1"/>
  <c r="H11" i="1"/>
  <c r="H2" i="1"/>
  <c r="H4" i="1"/>
  <c r="H6" i="1"/>
  <c r="H8" i="1"/>
  <c r="H10" i="1"/>
  <c r="H12" i="1"/>
  <c r="H14" i="1"/>
  <c r="H16" i="1"/>
  <c r="H18" i="1"/>
  <c r="H20" i="1"/>
  <c r="H22" i="1"/>
  <c r="H24" i="1"/>
  <c r="H26" i="1"/>
  <c r="H28" i="1"/>
  <c r="H30" i="1"/>
  <c r="H32" i="1"/>
  <c r="H34" i="1"/>
  <c r="H36" i="1"/>
  <c r="H38" i="1"/>
  <c r="H40" i="1"/>
  <c r="H42" i="1"/>
  <c r="H44" i="1"/>
  <c r="H46" i="1"/>
  <c r="I46" i="1"/>
  <c r="I45" i="1"/>
  <c r="H39" i="1"/>
  <c r="I38" i="1"/>
  <c r="I37" i="1"/>
  <c r="H31" i="1"/>
  <c r="I30" i="1"/>
  <c r="I29" i="1"/>
  <c r="H23" i="1"/>
  <c r="I22" i="1"/>
  <c r="I21" i="1"/>
  <c r="H17" i="1"/>
  <c r="H13" i="1"/>
  <c r="H5" i="1"/>
  <c r="J45" i="1"/>
  <c r="J43" i="1"/>
  <c r="J41" i="1"/>
  <c r="J39" i="1"/>
  <c r="J37" i="1"/>
  <c r="J35" i="1"/>
  <c r="J33" i="1"/>
  <c r="J31" i="1"/>
  <c r="J29" i="1"/>
  <c r="J27" i="1"/>
  <c r="J25" i="1"/>
  <c r="J23" i="1"/>
  <c r="J21" i="1"/>
  <c r="J19" i="1"/>
  <c r="J17" i="1"/>
  <c r="J15" i="1"/>
  <c r="J13" i="1"/>
  <c r="J11" i="1"/>
  <c r="J9" i="1"/>
  <c r="J7" i="1"/>
  <c r="J5" i="1"/>
  <c r="L23" i="1" l="1"/>
  <c r="L41" i="1"/>
  <c r="L8" i="1"/>
  <c r="L39" i="1"/>
  <c r="L28" i="1"/>
  <c r="L38" i="1"/>
  <c r="L42" i="1"/>
  <c r="L40" i="1"/>
  <c r="L7" i="1"/>
  <c r="L21" i="1"/>
  <c r="L44" i="1"/>
  <c r="L30" i="1"/>
  <c r="L22" i="1"/>
  <c r="L35" i="1"/>
  <c r="L19" i="1"/>
  <c r="L33" i="1"/>
  <c r="L13" i="1"/>
  <c r="L5" i="1"/>
  <c r="L14" i="1"/>
  <c r="L6" i="1"/>
  <c r="L20" i="1"/>
  <c r="L2" i="1"/>
  <c r="L29" i="1"/>
  <c r="L26" i="1"/>
  <c r="L24" i="1"/>
  <c r="L16" i="1"/>
  <c r="L37" i="1"/>
  <c r="L17" i="1"/>
  <c r="L46" i="1"/>
  <c r="L36" i="1"/>
  <c r="L45" i="1"/>
  <c r="L34" i="1"/>
  <c r="L15" i="1"/>
  <c r="L32" i="1"/>
  <c r="L11" i="1"/>
  <c r="L3" i="1"/>
  <c r="L12" i="1"/>
  <c r="L4" i="1"/>
</calcChain>
</file>

<file path=xl/sharedStrings.xml><?xml version="1.0" encoding="utf-8"?>
<sst xmlns="http://schemas.openxmlformats.org/spreadsheetml/2006/main" count="15" uniqueCount="15">
  <si>
    <t>test</t>
  </si>
  <si>
    <t>SD</t>
  </si>
  <si>
    <t>mean</t>
  </si>
  <si>
    <t>Distance</t>
  </si>
  <si>
    <t>AU_ZS</t>
  </si>
  <si>
    <t>ACPI_ZS</t>
  </si>
  <si>
    <t>AFP_ZS</t>
  </si>
  <si>
    <t>AT_ZS</t>
  </si>
  <si>
    <t>AWS_ZS</t>
  </si>
  <si>
    <t>Avg_Unemployment</t>
  </si>
  <si>
    <t>Avg_CPI</t>
  </si>
  <si>
    <t>Avg_Fuel_Price</t>
  </si>
  <si>
    <t>Avg_Temperature</t>
  </si>
  <si>
    <t>Avg_Weekly_Sales</t>
  </si>
  <si>
    <t>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</si>
</sst>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KNN ( Average Weekly Sales vs Average Fuel Price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KNN!$I$1</c:f>
              <c:strCache>
                <c:ptCount val="1"/>
                <c:pt idx="0">
                  <c:v>AFP_ZS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KNN!$G$2:$G$46</c:f>
              <c:numCache>
                <c:formatCode>General</c:formatCode>
                <c:ptCount val="45"/>
                <c:pt idx="0">
                  <c:v>0.94719799741180977</c:v>
                </c:pt>
                <c:pt idx="1">
                  <c:v>0.63834575531575111</c:v>
                </c:pt>
                <c:pt idx="2">
                  <c:v>0.56605081456947182</c:v>
                </c:pt>
                <c:pt idx="3">
                  <c:v>0.73853614071897256</c:v>
                </c:pt>
                <c:pt idx="4">
                  <c:v>0.92988490188588002</c:v>
                </c:pt>
                <c:pt idx="5">
                  <c:v>-0.53216577951594279</c:v>
                </c:pt>
                <c:pt idx="6">
                  <c:v>-0.25285165926966968</c:v>
                </c:pt>
                <c:pt idx="7">
                  <c:v>1.607654999643205</c:v>
                </c:pt>
                <c:pt idx="8">
                  <c:v>1.9167540129168763</c:v>
                </c:pt>
                <c:pt idx="9">
                  <c:v>-0.92016127551164917</c:v>
                </c:pt>
                <c:pt idx="10">
                  <c:v>-0.47744407019309176</c:v>
                </c:pt>
                <c:pt idx="11">
                  <c:v>-3.3777815045595128E-2</c:v>
                </c:pt>
                <c:pt idx="12">
                  <c:v>-0.9660432100798384</c:v>
                </c:pt>
                <c:pt idx="13">
                  <c:v>-0.23277311095471248</c:v>
                </c:pt>
                <c:pt idx="14">
                  <c:v>-1.1129821152007533</c:v>
                </c:pt>
                <c:pt idx="15">
                  <c:v>-1.1786122836144124</c:v>
                </c:pt>
                <c:pt idx="16">
                  <c:v>1.7818637358083886</c:v>
                </c:pt>
                <c:pt idx="17">
                  <c:v>0.21880264928847007</c:v>
                </c:pt>
                <c:pt idx="18">
                  <c:v>-1.3335492773773607</c:v>
                </c:pt>
                <c:pt idx="19">
                  <c:v>1.7501087599341609</c:v>
                </c:pt>
                <c:pt idx="20">
                  <c:v>-1.2320170507084747</c:v>
                </c:pt>
                <c:pt idx="21">
                  <c:v>1.5594927324289682</c:v>
                </c:pt>
                <c:pt idx="22">
                  <c:v>0.40459187247411654</c:v>
                </c:pt>
                <c:pt idx="23">
                  <c:v>6.9066465514877939E-2</c:v>
                </c:pt>
                <c:pt idx="24">
                  <c:v>1.9404702125126301</c:v>
                </c:pt>
                <c:pt idx="25">
                  <c:v>-0.62244235961568184</c:v>
                </c:pt>
                <c:pt idx="26">
                  <c:v>1.3322655039562514</c:v>
                </c:pt>
                <c:pt idx="27">
                  <c:v>-0.75671474010784257</c:v>
                </c:pt>
                <c:pt idx="28">
                  <c:v>-0.89743402760928781</c:v>
                </c:pt>
                <c:pt idx="29">
                  <c:v>-0.1466876430518386</c:v>
                </c:pt>
                <c:pt idx="30">
                  <c:v>0.62730168569536482</c:v>
                </c:pt>
                <c:pt idx="31">
                  <c:v>0.56673184839339452</c:v>
                </c:pt>
                <c:pt idx="32">
                  <c:v>-1.3614713597240964</c:v>
                </c:pt>
                <c:pt idx="33">
                  <c:v>0.7281650812931858</c:v>
                </c:pt>
                <c:pt idx="34">
                  <c:v>-0.28060028950008964</c:v>
                </c:pt>
                <c:pt idx="35">
                  <c:v>-0.15154200116214725</c:v>
                </c:pt>
                <c:pt idx="36">
                  <c:v>-0.92844686774332263</c:v>
                </c:pt>
                <c:pt idx="37">
                  <c:v>-1.4399293073271346</c:v>
                </c:pt>
                <c:pt idx="38">
                  <c:v>-0.77503117908761454</c:v>
                </c:pt>
                <c:pt idx="39">
                  <c:v>-8.0590774861156705E-2</c:v>
                </c:pt>
                <c:pt idx="40">
                  <c:v>-0.96540758791905068</c:v>
                </c:pt>
                <c:pt idx="41">
                  <c:v>-0.87143190281388461</c:v>
                </c:pt>
                <c:pt idx="42">
                  <c:v>0.50593501074415814</c:v>
                </c:pt>
                <c:pt idx="43">
                  <c:v>-6.9450130647374014E-2</c:v>
                </c:pt>
                <c:pt idx="44">
                  <c:v>-1.2096623618639208</c:v>
                </c:pt>
              </c:numCache>
            </c:numRef>
          </c:xVal>
          <c:yVal>
            <c:numRef>
              <c:f>KNN!$I$2:$I$46</c:f>
              <c:numCache>
                <c:formatCode>General</c:formatCode>
                <c:ptCount val="45"/>
                <c:pt idx="0">
                  <c:v>-0.92735009269692958</c:v>
                </c:pt>
                <c:pt idx="1">
                  <c:v>-0.92735009269692958</c:v>
                </c:pt>
                <c:pt idx="2">
                  <c:v>-0.92735009269692958</c:v>
                </c:pt>
                <c:pt idx="3">
                  <c:v>-0.92735009269692958</c:v>
                </c:pt>
                <c:pt idx="4">
                  <c:v>-0.92735009269692958</c:v>
                </c:pt>
                <c:pt idx="5">
                  <c:v>-0.92735009269692958</c:v>
                </c:pt>
                <c:pt idx="6">
                  <c:v>-0.92735009269692958</c:v>
                </c:pt>
                <c:pt idx="7">
                  <c:v>-0.92735009269692958</c:v>
                </c:pt>
                <c:pt idx="8">
                  <c:v>-0.94564358219532696</c:v>
                </c:pt>
                <c:pt idx="9">
                  <c:v>-0.92735009269692958</c:v>
                </c:pt>
                <c:pt idx="10">
                  <c:v>0.39230725058986865</c:v>
                </c:pt>
                <c:pt idx="11">
                  <c:v>0.53564974482380945</c:v>
                </c:pt>
                <c:pt idx="12">
                  <c:v>-0.92735009269692958</c:v>
                </c:pt>
                <c:pt idx="13">
                  <c:v>0.39230725058986865</c:v>
                </c:pt>
                <c:pt idx="14">
                  <c:v>-0.92735009269692958</c:v>
                </c:pt>
                <c:pt idx="15">
                  <c:v>-0.92735009269692958</c:v>
                </c:pt>
                <c:pt idx="16">
                  <c:v>0.39230725058986865</c:v>
                </c:pt>
                <c:pt idx="17">
                  <c:v>-0.78072088207264323</c:v>
                </c:pt>
                <c:pt idx="18">
                  <c:v>-0.92735009269692958</c:v>
                </c:pt>
                <c:pt idx="19">
                  <c:v>-0.48164601509507765</c:v>
                </c:pt>
                <c:pt idx="20">
                  <c:v>-1.0312945727749985</c:v>
                </c:pt>
                <c:pt idx="21">
                  <c:v>1.4620589397968706</c:v>
                </c:pt>
                <c:pt idx="22">
                  <c:v>-0.78072088207264323</c:v>
                </c:pt>
                <c:pt idx="23">
                  <c:v>0.53564974482380945</c:v>
                </c:pt>
                <c:pt idx="24">
                  <c:v>0.39230725058986865</c:v>
                </c:pt>
                <c:pt idx="25">
                  <c:v>0.39230725058986865</c:v>
                </c:pt>
                <c:pt idx="26">
                  <c:v>1.4779601667544453</c:v>
                </c:pt>
                <c:pt idx="27">
                  <c:v>-0.92735009269692958</c:v>
                </c:pt>
                <c:pt idx="28">
                  <c:v>1.4620589397968706</c:v>
                </c:pt>
                <c:pt idx="29">
                  <c:v>-0.94564358219532696</c:v>
                </c:pt>
                <c:pt idx="30">
                  <c:v>0.53564974482380945</c:v>
                </c:pt>
                <c:pt idx="31">
                  <c:v>1.4779601667544453</c:v>
                </c:pt>
                <c:pt idx="32">
                  <c:v>-0.48164601509507765</c:v>
                </c:pt>
                <c:pt idx="33">
                  <c:v>1.4779601667544453</c:v>
                </c:pt>
                <c:pt idx="34">
                  <c:v>-0.48164601509507765</c:v>
                </c:pt>
                <c:pt idx="35">
                  <c:v>0.53564974482380945</c:v>
                </c:pt>
                <c:pt idx="36">
                  <c:v>0.53564974482380945</c:v>
                </c:pt>
                <c:pt idx="37">
                  <c:v>1.4620589397968706</c:v>
                </c:pt>
                <c:pt idx="38">
                  <c:v>1.4779601667544453</c:v>
                </c:pt>
                <c:pt idx="39">
                  <c:v>0.53564974482380945</c:v>
                </c:pt>
                <c:pt idx="40">
                  <c:v>-0.78072088207264323</c:v>
                </c:pt>
                <c:pt idx="41">
                  <c:v>-0.78072088207264323</c:v>
                </c:pt>
                <c:pt idx="42">
                  <c:v>1.6666174667326814</c:v>
                </c:pt>
                <c:pt idx="43">
                  <c:v>1.6666174667326814</c:v>
                </c:pt>
                <c:pt idx="44">
                  <c:v>1.6666174667326814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78-4192-BC08-FB6801CE6F3D}"/>
            </c:ext>
          </c:extLst>
        </c:ser>
        <c:ser>
          <c:idx val="1"/>
          <c:order val="1"/>
          <c:tx>
            <c:v>test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KNN!$G$51</c:f>
              <c:numCache>
                <c:formatCode>General</c:formatCode>
                <c:ptCount val="1"/>
                <c:pt idx="0">
                  <c:v>0.5</c:v>
                </c:pt>
              </c:numCache>
            </c:numRef>
          </c:xVal>
          <c:yVal>
            <c:numRef>
              <c:f>KNN!$I$51</c:f>
              <c:numCache>
                <c:formatCode>General</c:formatCode>
                <c:ptCount val="1"/>
                <c:pt idx="0">
                  <c:v>-0.2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78-4192-BC08-FB6801CE6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435295"/>
        <c:axId val="242435775"/>
      </c:scatterChart>
      <c:valAx>
        <c:axId val="242435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Weekly Sale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435775"/>
        <c:crosses val="autoZero"/>
        <c:crossBetween val="midCat"/>
      </c:valAx>
      <c:valAx>
        <c:axId val="24243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Fuel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435295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645318</xdr:colOff>
      <xdr:row>2</xdr:row>
      <xdr:rowOff>4762</xdr:rowOff>
    </xdr:from>
    <xdr:to>
      <xdr:col>20</xdr:col>
      <xdr:colOff>35718</xdr:colOff>
      <xdr:row>17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1331CF-A192-49F5-9169-842B3B26E7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532E5B-D84C-42D7-B466-8378C70A123F}" name="Table2" displayName="Table2" ref="A1:L46" totalsRowShown="0">
  <autoFilter ref="A1:L46" xr:uid="{99CCAD70-021E-4369-8617-42381E99B35F}"/>
  <sortState xmlns:xlrd2="http://schemas.microsoft.com/office/spreadsheetml/2017/richdata2" ref="A2:L46">
    <sortCondition ref="L1:L46"/>
  </sortState>
  <tableColumns count="12">
    <tableColumn id="1" xr3:uid="{9219D7F5-418F-4505-97EE-92A112273A0C}" name="Store"/>
    <tableColumn id="2" xr3:uid="{5FE6C42E-67E1-4FBA-A897-FC72C3E75EA9}" name="Avg_Weekly_Sales"/>
    <tableColumn id="3" xr3:uid="{A89777C9-A1D4-4C8A-B30D-344433127332}" name="Avg_Temperature"/>
    <tableColumn id="4" xr3:uid="{C6CCA5DB-8FDC-4361-8E06-A0ADC7E72F5D}" name="Avg_Fuel_Price"/>
    <tableColumn id="5" xr3:uid="{41F65C05-7837-495F-8CE3-EACF35827E0B}" name="Avg_CPI"/>
    <tableColumn id="6" xr3:uid="{7E534A47-4766-4128-A5C0-63390CE7B819}" name="Avg_Unemployment"/>
    <tableColumn id="7" xr3:uid="{9C01E25B-BDBB-446C-92C2-54C2D4DD6667}" name="AWS_ZS">
      <calculatedColumnFormula>(B2-$B$49)/$B$50</calculatedColumnFormula>
    </tableColumn>
    <tableColumn id="8" xr3:uid="{1CAB3755-270C-496F-82F9-CB1B33636CAE}" name="AT_ZS" dataDxfId="3">
      <calculatedColumnFormula>(C2-$C$49)/$C$50</calculatedColumnFormula>
    </tableColumn>
    <tableColumn id="9" xr3:uid="{B49FC1DA-18CC-4B79-BCA2-D753088E1AC7}" name="AFP_ZS" dataDxfId="2">
      <calculatedColumnFormula>(D2-$D$49)/$D$50</calculatedColumnFormula>
    </tableColumn>
    <tableColumn id="10" xr3:uid="{4364CE8D-5765-472A-A543-AAF157C4570B}" name="ACPI_ZS" dataDxfId="1">
      <calculatedColumnFormula>(E2-$E$49)/$E$50</calculatedColumnFormula>
    </tableColumn>
    <tableColumn id="11" xr3:uid="{9607F503-CD7E-4E43-897D-EFB93F53A640}" name="AU_ZS" dataDxfId="0">
      <calculatedColumnFormula>(F2-$F$49)/$F$50</calculatedColumnFormula>
    </tableColumn>
    <tableColumn id="12" xr3:uid="{113834FA-7890-4842-ACF6-25787520B58E}" name="Distance">
      <calculatedColumnFormula>SQRT(SUMSQ(G2 - $G$51, H2 - $H$51, I2 - $I$51, J2 - $J$51, K2 - $K$51))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89BB6-A4A8-4498-9414-97A08A00C2C1}">
  <dimension ref="A1:L51"/>
  <sheetViews>
    <sheetView tabSelected="1" topLeftCell="E1" workbookViewId="0">
      <selection activeCell="O23" sqref="O23"/>
    </sheetView>
  </sheetViews>
  <sheetFormatPr defaultRowHeight="14.25" x14ac:dyDescent="0.45"/>
  <cols>
    <col min="1" max="1" width="6.9296875" customWidth="1"/>
    <col min="2" max="2" width="17.33203125" customWidth="1"/>
    <col min="3" max="3" width="16.46484375" customWidth="1"/>
    <col min="4" max="4" width="14.59765625" customWidth="1"/>
    <col min="5" max="5" width="11.73046875" bestFit="1" customWidth="1"/>
    <col min="6" max="6" width="18.46484375" customWidth="1"/>
    <col min="7" max="7" width="9.1328125" customWidth="1"/>
    <col min="10" max="10" width="9.265625" customWidth="1"/>
    <col min="12" max="12" width="9.59765625" customWidth="1"/>
  </cols>
  <sheetData>
    <row r="1" spans="1:12" x14ac:dyDescent="0.45">
      <c r="A1" t="s">
        <v>14</v>
      </c>
      <c r="B1" t="s">
        <v>13</v>
      </c>
      <c r="C1" t="s">
        <v>12</v>
      </c>
      <c r="D1" t="s">
        <v>11</v>
      </c>
      <c r="E1" t="s">
        <v>10</v>
      </c>
      <c r="F1" t="s">
        <v>9</v>
      </c>
      <c r="G1" t="s">
        <v>8</v>
      </c>
      <c r="H1" t="s">
        <v>7</v>
      </c>
      <c r="I1" t="s">
        <v>6</v>
      </c>
      <c r="J1" t="s">
        <v>5</v>
      </c>
      <c r="K1" t="s">
        <v>4</v>
      </c>
      <c r="L1" t="s">
        <v>3</v>
      </c>
    </row>
    <row r="2" spans="1:12" x14ac:dyDescent="0.45">
      <c r="A2">
        <v>6</v>
      </c>
      <c r="B2">
        <v>1564728.18618881</v>
      </c>
      <c r="C2">
        <v>69.700000016005703</v>
      </c>
      <c r="D2">
        <v>3.2196993027533698</v>
      </c>
      <c r="E2">
        <v>217.55319704709399</v>
      </c>
      <c r="F2">
        <v>6.6069021425047101</v>
      </c>
      <c r="G2">
        <f>(B2-$B$49)/$B$50</f>
        <v>0.94719799741180977</v>
      </c>
      <c r="H2">
        <f>(C2-$C$49)/$C$50</f>
        <v>0.92200624131494591</v>
      </c>
      <c r="I2">
        <f>(D2-$D$49)/$D$50</f>
        <v>-0.92735009269692958</v>
      </c>
      <c r="J2">
        <f>(E2-$E$49)/$E$50</f>
        <v>1.1592237705735271</v>
      </c>
      <c r="K2">
        <f>(F2-$F$49)/$F$50</f>
        <v>-0.77867420835197598</v>
      </c>
      <c r="L2">
        <f>SQRT(SUMSQ(G2 - $G$51, H2 - $H$51, I2 - $I$51, J2 - $J$51, K2 - $K$51))</f>
        <v>1.5235506313857816</v>
      </c>
    </row>
    <row r="3" spans="1:12" x14ac:dyDescent="0.45">
      <c r="A3">
        <v>31</v>
      </c>
      <c r="B3">
        <v>1395901.4370629401</v>
      </c>
      <c r="C3">
        <v>68.847622664658303</v>
      </c>
      <c r="D3">
        <v>3.2196993027533698</v>
      </c>
      <c r="E3">
        <v>215.64631087296499</v>
      </c>
      <c r="F3">
        <v>7.6238462007962697</v>
      </c>
      <c r="G3">
        <f>(B3-$B$49)/$B$50</f>
        <v>0.63834575531575111</v>
      </c>
      <c r="H3">
        <f>(C3-$C$49)/$C$50</f>
        <v>0.83503431594100186</v>
      </c>
      <c r="I3">
        <f>(D3-$D$49)/$D$50</f>
        <v>-0.92735009269692958</v>
      </c>
      <c r="J3">
        <f>(E3-$E$49)/$E$50</f>
        <v>1.1111429168300326</v>
      </c>
      <c r="K3">
        <f>(F3-$F$49)/$F$50</f>
        <v>-0.2099056098681166</v>
      </c>
      <c r="L3">
        <f>SQRT(SUMSQ(G3 - $G$51, H3 - $H$51, I3 - $I$51, J3 - $J$51, K3 - $K$51))</f>
        <v>1.5461144642392588</v>
      </c>
    </row>
    <row r="4" spans="1:12" x14ac:dyDescent="0.45">
      <c r="A4">
        <v>11</v>
      </c>
      <c r="B4">
        <v>1356383.1232517499</v>
      </c>
      <c r="C4">
        <v>72.480769470855094</v>
      </c>
      <c r="D4">
        <v>3.2196993027533698</v>
      </c>
      <c r="E4">
        <v>219.39153167084399</v>
      </c>
      <c r="F4">
        <v>7.1769860607760796</v>
      </c>
      <c r="G4">
        <f>(B4-$B$49)/$B$50</f>
        <v>0.56605081456947182</v>
      </c>
      <c r="H4">
        <f>(C4-$C$49)/$C$50</f>
        <v>1.2057407552916495</v>
      </c>
      <c r="I4">
        <f>(D4-$D$49)/$D$50</f>
        <v>-0.92735009269692958</v>
      </c>
      <c r="J4">
        <f>(E4-$E$49)/$E$50</f>
        <v>1.2055761430304197</v>
      </c>
      <c r="K4">
        <f>(F4-$F$49)/$F$50</f>
        <v>-0.4598308771287043</v>
      </c>
      <c r="L4">
        <f>SQRT(SUMSQ(G4 - $G$51, H4 - $H$51, I4 - $I$51, J4 - $J$51, K4 - $K$51))</f>
        <v>1.5478934792952375</v>
      </c>
    </row>
    <row r="5" spans="1:12" x14ac:dyDescent="0.45">
      <c r="A5">
        <v>39</v>
      </c>
      <c r="B5">
        <v>1450668.13374126</v>
      </c>
      <c r="C5">
        <v>70.597342697890497</v>
      </c>
      <c r="D5">
        <v>3.2196993027533698</v>
      </c>
      <c r="E5">
        <v>214.72906878277999</v>
      </c>
      <c r="F5">
        <v>7.8690489422191296</v>
      </c>
      <c r="G5">
        <f>(B5-$B$49)/$B$50</f>
        <v>0.73853614071897256</v>
      </c>
      <c r="H5">
        <f>(C5-$C$49)/$C$50</f>
        <v>1.0135661832120075</v>
      </c>
      <c r="I5">
        <f>(D5-$D$49)/$D$50</f>
        <v>-0.92735009269692958</v>
      </c>
      <c r="J5">
        <f>(E5-$E$49)/$E$50</f>
        <v>1.088015273773044</v>
      </c>
      <c r="K5">
        <f>(F5-$F$49)/$F$50</f>
        <v>-7.2765696963000101E-2</v>
      </c>
      <c r="L5">
        <f>SQRT(SUMSQ(G5 - $G$51, H5 - $H$51, I5 - $I$51, J5 - $J$51, K5 - $K$51))</f>
        <v>1.5894564200801566</v>
      </c>
    </row>
    <row r="6" spans="1:12" x14ac:dyDescent="0.45">
      <c r="A6">
        <v>1</v>
      </c>
      <c r="B6">
        <v>1555264.3933566399</v>
      </c>
      <c r="C6">
        <v>68.306783636133105</v>
      </c>
      <c r="D6">
        <v>3.2196993027533698</v>
      </c>
      <c r="E6">
        <v>215.99689190204299</v>
      </c>
      <c r="F6">
        <v>7.6104196268361797</v>
      </c>
      <c r="G6">
        <f>(B6-$B$49)/$B$50</f>
        <v>0.92988490188588002</v>
      </c>
      <c r="H6">
        <f>(C6-$C$49)/$C$50</f>
        <v>0.77985005799016049</v>
      </c>
      <c r="I6">
        <f>(D6-$D$49)/$D$50</f>
        <v>-0.92735009269692958</v>
      </c>
      <c r="J6">
        <f>(E6-$E$49)/$E$50</f>
        <v>1.119982581941162</v>
      </c>
      <c r="K6">
        <f>(F6-$F$49)/$F$50</f>
        <v>-0.21741498424466749</v>
      </c>
      <c r="L6">
        <f>SQRT(SUMSQ(G6 - $G$51, H6 - $H$51, I6 - $I$51, J6 - $J$51, K6 - $K$51))</f>
        <v>1.6093688154071664</v>
      </c>
    </row>
    <row r="7" spans="1:12" x14ac:dyDescent="0.45">
      <c r="A7">
        <v>21</v>
      </c>
      <c r="B7">
        <v>756069.082604895</v>
      </c>
      <c r="C7">
        <v>68.847622664658303</v>
      </c>
      <c r="D7">
        <v>3.2196993027533698</v>
      </c>
      <c r="E7">
        <v>215.64631087296499</v>
      </c>
      <c r="F7">
        <v>7.6238462007962697</v>
      </c>
      <c r="G7">
        <f>(B7-$B$49)/$B$50</f>
        <v>-0.53216577951594279</v>
      </c>
      <c r="H7">
        <f>(C7-$C$49)/$C$50</f>
        <v>0.83503431594100186</v>
      </c>
      <c r="I7">
        <f>(D7-$D$49)/$D$50</f>
        <v>-0.92735009269692958</v>
      </c>
      <c r="J7">
        <f>(E7-$E$49)/$E$50</f>
        <v>1.1111429168300326</v>
      </c>
      <c r="K7">
        <f>(F7-$F$49)/$F$50</f>
        <v>-0.2099056098681166</v>
      </c>
      <c r="L7">
        <f>SQRT(SUMSQ(G7 - $G$51, H7 - $H$51, I7 - $I$51, J7 - $J$51, K7 - $K$51))</f>
        <v>1.8538329441780126</v>
      </c>
    </row>
    <row r="8" spans="1:12" x14ac:dyDescent="0.45">
      <c r="A8">
        <v>8</v>
      </c>
      <c r="B8">
        <v>908749.51835664304</v>
      </c>
      <c r="C8">
        <v>62.513985893943101</v>
      </c>
      <c r="D8">
        <v>3.2196993027533698</v>
      </c>
      <c r="E8">
        <v>219.43902641243</v>
      </c>
      <c r="F8">
        <v>6.0918461626226197</v>
      </c>
      <c r="G8">
        <f>(B8-$B$49)/$B$50</f>
        <v>-0.25285165926966968</v>
      </c>
      <c r="H8">
        <f>(C8-$C$49)/$C$50</f>
        <v>0.18878464295572858</v>
      </c>
      <c r="I8">
        <f>(D8-$D$49)/$D$50</f>
        <v>-0.92735009269692958</v>
      </c>
      <c r="J8">
        <f>(E8-$E$49)/$E$50</f>
        <v>1.206773691030276</v>
      </c>
      <c r="K8">
        <f>(F8-$F$49)/$F$50</f>
        <v>-1.0667408580656408</v>
      </c>
      <c r="L8">
        <f>SQRT(SUMSQ(G8 - $G$51, H8 - $H$51, I8 - $I$51, J8 - $J$51, K8 - $K$51))</f>
        <v>1.8795484294495519</v>
      </c>
    </row>
    <row r="9" spans="1:12" x14ac:dyDescent="0.45">
      <c r="A9">
        <v>2</v>
      </c>
      <c r="B9">
        <v>1925751.33391608</v>
      </c>
      <c r="C9">
        <v>68.216363626760199</v>
      </c>
      <c r="D9">
        <v>3.2196993027533698</v>
      </c>
      <c r="E9">
        <v>215.64631087296499</v>
      </c>
      <c r="F9">
        <v>7.6238462007962697</v>
      </c>
      <c r="G9">
        <f>(B9-$B$49)/$B$50</f>
        <v>1.607654999643205</v>
      </c>
      <c r="H9">
        <f>(C9-$C$49)/$C$50</f>
        <v>0.77062409451862912</v>
      </c>
      <c r="I9">
        <f>(D9-$D$49)/$D$50</f>
        <v>-0.92735009269692958</v>
      </c>
      <c r="J9">
        <f>(E9-$E$49)/$E$50</f>
        <v>1.1111429168300326</v>
      </c>
      <c r="K9">
        <f>(F9-$F$49)/$F$50</f>
        <v>-0.2099056098681166</v>
      </c>
      <c r="L9">
        <f>SQRT(SUMSQ(G9 - $G$51, H9 - $H$51, I9 - $I$51, J9 - $J$51, K9 - $K$51))</f>
        <v>1.9035833619384517</v>
      </c>
    </row>
    <row r="10" spans="1:12" x14ac:dyDescent="0.45">
      <c r="A10">
        <v>4</v>
      </c>
      <c r="B10">
        <v>2094712.9746503499</v>
      </c>
      <c r="C10">
        <v>62.253356786874598</v>
      </c>
      <c r="D10">
        <v>3.21697202762524</v>
      </c>
      <c r="E10">
        <v>128.679669466886</v>
      </c>
      <c r="F10">
        <v>5.9646923658731099</v>
      </c>
      <c r="G10">
        <f>(B10-$B$49)/$B$50</f>
        <v>1.9167540129168763</v>
      </c>
      <c r="H10">
        <f>(C10-$C$49)/$C$50</f>
        <v>0.16219147361071032</v>
      </c>
      <c r="I10">
        <f>(D10-$D$49)/$D$50</f>
        <v>-0.94564358219532696</v>
      </c>
      <c r="J10">
        <f>(E10-$E$49)/$E$50</f>
        <v>-1.0816625178826937</v>
      </c>
      <c r="K10">
        <f>(F10-$F$49)/$F$50</f>
        <v>-1.1378569496337627</v>
      </c>
      <c r="L10">
        <f>SQRT(SUMSQ(G10 - $G$51, H10 - $H$51, I10 - $I$51, J10 - $J$51, K10 - $K$51))</f>
        <v>2.0839644980439003</v>
      </c>
    </row>
    <row r="11" spans="1:12" x14ac:dyDescent="0.45">
      <c r="A11">
        <v>9</v>
      </c>
      <c r="B11">
        <v>543980.55179195805</v>
      </c>
      <c r="C11">
        <v>67.775174947885404</v>
      </c>
      <c r="D11">
        <v>3.2196993027533698</v>
      </c>
      <c r="E11">
        <v>219.62668945739301</v>
      </c>
      <c r="F11">
        <v>6.0998810421336804</v>
      </c>
      <c r="G11">
        <f>(B11-$B$49)/$B$50</f>
        <v>-0.92016127551164917</v>
      </c>
      <c r="H11">
        <f>(C11-$C$49)/$C$50</f>
        <v>0.7256076135031817</v>
      </c>
      <c r="I11">
        <f>(D11-$D$49)/$D$50</f>
        <v>-0.92735009269692958</v>
      </c>
      <c r="J11">
        <f>(E11-$E$49)/$E$50</f>
        <v>1.2115054886280257</v>
      </c>
      <c r="K11">
        <f>(F11-$F$49)/$F$50</f>
        <v>-1.0622470148485712</v>
      </c>
      <c r="L11">
        <f>SQRT(SUMSQ(G11 - $G$51, H11 - $H$51, I11 - $I$51, J11 - $J$51, K11 - $K$51))</f>
        <v>2.1000017931123178</v>
      </c>
    </row>
    <row r="12" spans="1:12" x14ac:dyDescent="0.45">
      <c r="A12">
        <v>45</v>
      </c>
      <c r="B12">
        <v>785981.40646853205</v>
      </c>
      <c r="C12">
        <v>57.790979065261503</v>
      </c>
      <c r="D12">
        <v>3.4164397141612199</v>
      </c>
      <c r="E12">
        <v>186.28567824997299</v>
      </c>
      <c r="F12">
        <v>8.6487482110937197</v>
      </c>
      <c r="G12">
        <f>(B12-$B$49)/$B$50</f>
        <v>-0.47744407019309176</v>
      </c>
      <c r="H12">
        <f>(C12-$C$49)/$C$50</f>
        <v>-0.29312515532246231</v>
      </c>
      <c r="I12">
        <f>(D12-$D$49)/$D$50</f>
        <v>0.39230725058986865</v>
      </c>
      <c r="J12">
        <f>(E12-$E$49)/$E$50</f>
        <v>0.37083429111598609</v>
      </c>
      <c r="K12">
        <f>(F12-$F$49)/$F$50</f>
        <v>0.36331380690047321</v>
      </c>
      <c r="L12">
        <f>SQRT(SUMSQ(G12 - $G$51, H12 - $H$51, I12 - $I$51, J12 - $J$51, K12 - $K$51))</f>
        <v>2.1338653659030773</v>
      </c>
    </row>
    <row r="13" spans="1:12" x14ac:dyDescent="0.45">
      <c r="A13">
        <v>22</v>
      </c>
      <c r="B13">
        <v>1028501.03671329</v>
      </c>
      <c r="C13">
        <v>54.897132913549498</v>
      </c>
      <c r="D13">
        <v>3.4378098534866099</v>
      </c>
      <c r="E13">
        <v>139.011283821159</v>
      </c>
      <c r="F13">
        <v>8.0693704431707207</v>
      </c>
      <c r="G13">
        <f>(B13-$B$49)/$B$50</f>
        <v>-3.3777815045595128E-2</v>
      </c>
      <c r="H13">
        <f>(C13-$C$49)/$C$50</f>
        <v>-0.5883973973083878</v>
      </c>
      <c r="I13">
        <f>(D13-$D$49)/$D$50</f>
        <v>0.53564974482380945</v>
      </c>
      <c r="J13">
        <f>(E13-$E$49)/$E$50</f>
        <v>-0.82115780321146303</v>
      </c>
      <c r="K13">
        <f>(F13-$F$49)/$F$50</f>
        <v>3.9272500628547001E-2</v>
      </c>
      <c r="L13">
        <f>SQRT(SUMSQ(G13 - $G$51, H13 - $H$51, I13 - $I$51, J13 - $J$51, K13 - $K$51))</f>
        <v>2.1385865664298755</v>
      </c>
    </row>
    <row r="14" spans="1:12" x14ac:dyDescent="0.45">
      <c r="A14">
        <v>37</v>
      </c>
      <c r="B14">
        <v>518900.281031469</v>
      </c>
      <c r="C14">
        <v>71.160349625807498</v>
      </c>
      <c r="D14">
        <v>3.2196993027533698</v>
      </c>
      <c r="E14">
        <v>214.72906878277999</v>
      </c>
      <c r="F14">
        <v>7.8690489422191296</v>
      </c>
      <c r="G14">
        <f>(B14-$B$49)/$B$50</f>
        <v>-0.9660432100798384</v>
      </c>
      <c r="H14">
        <f>(C14-$C$49)/$C$50</f>
        <v>1.0710123324350107</v>
      </c>
      <c r="I14">
        <f>(D14-$D$49)/$D$50</f>
        <v>-0.92735009269692958</v>
      </c>
      <c r="J14">
        <f>(E14-$E$49)/$E$50</f>
        <v>1.088015273773044</v>
      </c>
      <c r="K14">
        <f>(F14-$F$49)/$F$50</f>
        <v>-7.2765696963000101E-2</v>
      </c>
      <c r="L14">
        <f>SQRT(SUMSQ(G14 - $G$51, H14 - $H$51, I14 - $I$51, J14 - $J$51, K14 - $K$51))</f>
        <v>2.1502589669053918</v>
      </c>
    </row>
    <row r="15" spans="1:12" x14ac:dyDescent="0.45">
      <c r="A15">
        <v>35</v>
      </c>
      <c r="B15">
        <v>919724.98033216805</v>
      </c>
      <c r="C15">
        <v>57.311118946208801</v>
      </c>
      <c r="D15">
        <v>3.4164397141612199</v>
      </c>
      <c r="E15">
        <v>139.011283821159</v>
      </c>
      <c r="F15">
        <v>8.7885733917876596</v>
      </c>
      <c r="G15">
        <f>(B15-$B$49)/$B$50</f>
        <v>-0.23277311095471248</v>
      </c>
      <c r="H15">
        <f>(C15-$C$49)/$C$50</f>
        <v>-0.34208745869456825</v>
      </c>
      <c r="I15">
        <f>(D15-$D$49)/$D$50</f>
        <v>0.39230725058986865</v>
      </c>
      <c r="J15">
        <f>(E15-$E$49)/$E$50</f>
        <v>-0.82115780321146303</v>
      </c>
      <c r="K15">
        <f>(F15-$F$49)/$F$50</f>
        <v>0.44151690116865733</v>
      </c>
      <c r="L15">
        <f>SQRT(SUMSQ(G15 - $G$51, H15 - $H$51, I15 - $I$51, J15 - $J$51, K15 - $K$51))</f>
        <v>2.1795448724550339</v>
      </c>
    </row>
    <row r="16" spans="1:12" x14ac:dyDescent="0.45">
      <c r="A16">
        <v>30</v>
      </c>
      <c r="B16">
        <v>438579.61538461503</v>
      </c>
      <c r="C16">
        <v>68.847622664658303</v>
      </c>
      <c r="D16">
        <v>3.2196993027533698</v>
      </c>
      <c r="E16">
        <v>215.64631087296499</v>
      </c>
      <c r="F16">
        <v>7.6238462007962697</v>
      </c>
      <c r="G16">
        <f>(B16-$B$49)/$B$50</f>
        <v>-1.1129821152007533</v>
      </c>
      <c r="H16">
        <f>(C16-$C$49)/$C$50</f>
        <v>0.83503431594100186</v>
      </c>
      <c r="I16">
        <f>(D16-$D$49)/$D$50</f>
        <v>-0.92735009269692958</v>
      </c>
      <c r="J16">
        <f>(E16-$E$49)/$E$50</f>
        <v>1.1111429168300326</v>
      </c>
      <c r="K16">
        <f>(F16-$F$49)/$F$50</f>
        <v>-0.2099056098681166</v>
      </c>
      <c r="L16">
        <f>SQRT(SUMSQ(G16 - $G$51, H16 - $H$51, I16 - $I$51, J16 - $J$51, K16 - $K$51))</f>
        <v>2.2300317693865845</v>
      </c>
    </row>
    <row r="17" spans="1:12" x14ac:dyDescent="0.45">
      <c r="A17">
        <v>3</v>
      </c>
      <c r="B17">
        <v>402704.44121503498</v>
      </c>
      <c r="C17">
        <v>71.434195938643896</v>
      </c>
      <c r="D17">
        <v>3.2196993027533698</v>
      </c>
      <c r="E17">
        <v>219.39153167084399</v>
      </c>
      <c r="F17">
        <v>7.1769860607760796</v>
      </c>
      <c r="G17">
        <f>(B17-$B$49)/$B$50</f>
        <v>-1.1786122836144124</v>
      </c>
      <c r="H17">
        <f>(C17-$C$49)/$C$50</f>
        <v>1.0989541132041596</v>
      </c>
      <c r="I17">
        <f>(D17-$D$49)/$D$50</f>
        <v>-0.92735009269692958</v>
      </c>
      <c r="J17">
        <f>(E17-$E$49)/$E$50</f>
        <v>1.2055761430304197</v>
      </c>
      <c r="K17">
        <f>(F17-$F$49)/$F$50</f>
        <v>-0.4598308771287043</v>
      </c>
      <c r="L17">
        <f>SQRT(SUMSQ(G17 - $G$51, H17 - $H$51, I17 - $I$51, J17 - $J$51, K17 - $K$51))</f>
        <v>2.2752611652231618</v>
      </c>
    </row>
    <row r="18" spans="1:12" x14ac:dyDescent="0.45">
      <c r="A18">
        <v>14</v>
      </c>
      <c r="B18">
        <v>2020978.4055944099</v>
      </c>
      <c r="C18">
        <v>57.790979065261503</v>
      </c>
      <c r="D18">
        <v>3.4164397141612199</v>
      </c>
      <c r="E18">
        <v>186.28567824997299</v>
      </c>
      <c r="F18">
        <v>8.6487482110937197</v>
      </c>
      <c r="G18">
        <f>(B18-$B$49)/$B$50</f>
        <v>1.7818637358083886</v>
      </c>
      <c r="H18">
        <f>(C18-$C$49)/$C$50</f>
        <v>-0.29312515532246231</v>
      </c>
      <c r="I18">
        <f>(D18-$D$49)/$D$50</f>
        <v>0.39230725058986865</v>
      </c>
      <c r="J18">
        <f>(E18-$E$49)/$E$50</f>
        <v>0.37083429111598609</v>
      </c>
      <c r="K18">
        <f>(F18-$F$49)/$F$50</f>
        <v>0.36331380690047321</v>
      </c>
      <c r="L18">
        <f>SQRT(SUMSQ(G18 - $G$51, H18 - $H$51, I18 - $I$51, J18 - $J$51, K18 - $K$51))</f>
        <v>2.2893577978607174</v>
      </c>
    </row>
    <row r="19" spans="1:12" x14ac:dyDescent="0.45">
      <c r="A19">
        <v>32</v>
      </c>
      <c r="B19">
        <v>1166568.15384615</v>
      </c>
      <c r="C19">
        <v>52.747552518244397</v>
      </c>
      <c r="D19">
        <v>3.2415594404394001</v>
      </c>
      <c r="E19">
        <v>193.66424336466801</v>
      </c>
      <c r="F19">
        <v>8.5857342573312607</v>
      </c>
      <c r="G19">
        <f>(B19-$B$49)/$B$50</f>
        <v>0.21880264928847007</v>
      </c>
      <c r="H19">
        <f>(C19-$C$49)/$C$50</f>
        <v>-0.80772883007140195</v>
      </c>
      <c r="I19">
        <f>(D19-$D$49)/$D$50</f>
        <v>-0.78072088207264323</v>
      </c>
      <c r="J19">
        <f>(E19-$E$49)/$E$50</f>
        <v>0.55687985321071831</v>
      </c>
      <c r="K19">
        <f>(F19-$F$49)/$F$50</f>
        <v>0.32807061149146377</v>
      </c>
      <c r="L19">
        <f>SQRT(SUMSQ(G19 - $G$51, H19 - $H$51, I19 - $I$51, J19 - $J$51, K19 - $K$51))</f>
        <v>2.3212554064683597</v>
      </c>
    </row>
    <row r="20" spans="1:12" x14ac:dyDescent="0.45">
      <c r="A20">
        <v>5</v>
      </c>
      <c r="B20">
        <v>318011.81020542001</v>
      </c>
      <c r="C20">
        <v>69.410139684076896</v>
      </c>
      <c r="D20">
        <v>3.2196993027533698</v>
      </c>
      <c r="E20">
        <v>216.56558152845699</v>
      </c>
      <c r="F20">
        <v>6.2954055812809004</v>
      </c>
      <c r="G20">
        <f>(B20-$B$49)/$B$50</f>
        <v>-1.3335492773773607</v>
      </c>
      <c r="H20">
        <f>(C20-$C$49)/$C$50</f>
        <v>0.89243047757893335</v>
      </c>
      <c r="I20">
        <f>(D20-$D$49)/$D$50</f>
        <v>-0.92735009269692958</v>
      </c>
      <c r="J20">
        <f>(E20-$E$49)/$E$50</f>
        <v>1.1343217087983501</v>
      </c>
      <c r="K20">
        <f>(F20-$F$49)/$F$50</f>
        <v>-0.9528917192516887</v>
      </c>
      <c r="L20">
        <f>SQRT(SUMSQ(G20 - $G$51, H20 - $H$51, I20 - $I$51, J20 - $J$51, K20 - $K$51))</f>
        <v>2.3344031936873688</v>
      </c>
    </row>
    <row r="21" spans="1:12" x14ac:dyDescent="0.45">
      <c r="A21">
        <v>13</v>
      </c>
      <c r="B21">
        <v>2003620.30157343</v>
      </c>
      <c r="C21">
        <v>53.697132817515097</v>
      </c>
      <c r="D21">
        <v>3.2861468575217501</v>
      </c>
      <c r="E21">
        <v>128.679669466886</v>
      </c>
      <c r="F21">
        <v>7.0018252092641502</v>
      </c>
      <c r="G21">
        <f>(B21-$B$49)/$B$50</f>
        <v>1.7501087599341609</v>
      </c>
      <c r="H21">
        <f>(C21-$C$49)/$C$50</f>
        <v>-0.71083884725547053</v>
      </c>
      <c r="I21">
        <f>(D21-$D$49)/$D$50</f>
        <v>-0.48164601509507765</v>
      </c>
      <c r="J21">
        <f>(E21-$E$49)/$E$50</f>
        <v>-1.0816625178826937</v>
      </c>
      <c r="K21">
        <f>(F21-$F$49)/$F$50</f>
        <v>-0.55779692669788961</v>
      </c>
      <c r="L21">
        <f>SQRT(SUMSQ(G21 - $G$51, H21 - $H$51, I21 - $I$51, J21 - $J$51, K21 - $K$51))</f>
        <v>2.3646119297876909</v>
      </c>
    </row>
    <row r="22" spans="1:12" x14ac:dyDescent="0.45">
      <c r="A22">
        <v>36</v>
      </c>
      <c r="B22">
        <v>373511.99256992998</v>
      </c>
      <c r="C22">
        <v>71.160349625807498</v>
      </c>
      <c r="D22">
        <v>3.2042027953621401</v>
      </c>
      <c r="E22">
        <v>214.72906878277999</v>
      </c>
      <c r="F22">
        <v>7.8690489422191296</v>
      </c>
      <c r="G22">
        <f>(B22-$B$49)/$B$50</f>
        <v>-1.2320170507084747</v>
      </c>
      <c r="H22">
        <f>(C22-$C$49)/$C$50</f>
        <v>1.0710123324350107</v>
      </c>
      <c r="I22">
        <f>(D22-$D$49)/$D$50</f>
        <v>-1.0312945727749985</v>
      </c>
      <c r="J22">
        <f>(E22-$E$49)/$E$50</f>
        <v>1.088015273773044</v>
      </c>
      <c r="K22">
        <f>(F22-$F$49)/$F$50</f>
        <v>-7.2765696963000101E-2</v>
      </c>
      <c r="L22">
        <f>SQRT(SUMSQ(G22 - $G$51, H22 - $H$51, I22 - $I$51, J22 - $J$51, K22 - $K$51))</f>
        <v>2.3740738203054392</v>
      </c>
    </row>
    <row r="23" spans="1:12" x14ac:dyDescent="0.45">
      <c r="A23">
        <v>10</v>
      </c>
      <c r="B23">
        <v>1899424.57342657</v>
      </c>
      <c r="C23">
        <v>72.241188769573895</v>
      </c>
      <c r="D23">
        <v>3.5759230743754999</v>
      </c>
      <c r="E23">
        <v>128.679669466886</v>
      </c>
      <c r="F23">
        <v>8.3629652136689305</v>
      </c>
      <c r="G23">
        <f>(B23-$B$49)/$B$50</f>
        <v>1.5594927324289682</v>
      </c>
      <c r="H23">
        <f>(C23-$C$49)/$C$50</f>
        <v>1.18129525021115</v>
      </c>
      <c r="I23">
        <f>(D23-$D$49)/$D$50</f>
        <v>1.4620589397968706</v>
      </c>
      <c r="J23">
        <f>(E23-$E$49)/$E$50</f>
        <v>-1.0816625178826937</v>
      </c>
      <c r="K23">
        <f>(F23-$F$49)/$F$50</f>
        <v>0.20347768455871509</v>
      </c>
      <c r="L23">
        <f>SQRT(SUMSQ(G23 - $G$51, H23 - $H$51, I23 - $I$51, J23 - $J$51, K23 - $K$51))</f>
        <v>2.4266152351785668</v>
      </c>
    </row>
    <row r="24" spans="1:12" x14ac:dyDescent="0.45">
      <c r="A24">
        <v>41</v>
      </c>
      <c r="B24">
        <v>1268125.42395105</v>
      </c>
      <c r="C24">
        <v>48.4103497925338</v>
      </c>
      <c r="D24">
        <v>3.2415594404394001</v>
      </c>
      <c r="E24">
        <v>193.66424336466801</v>
      </c>
      <c r="F24">
        <v>6.9733776379298504</v>
      </c>
      <c r="G24">
        <f>(B24-$B$49)/$B$50</f>
        <v>0.40459187247411654</v>
      </c>
      <c r="H24">
        <f>(C24-$C$49)/$C$50</f>
        <v>-1.2502732866971962</v>
      </c>
      <c r="I24">
        <f>(D24-$D$49)/$D$50</f>
        <v>-0.78072088207264323</v>
      </c>
      <c r="J24">
        <f>(E24-$E$49)/$E$50</f>
        <v>0.55687985321071831</v>
      </c>
      <c r="K24">
        <f>(F24-$F$49)/$F$50</f>
        <v>-0.57370742358919502</v>
      </c>
      <c r="L24">
        <f>SQRT(SUMSQ(G24 - $G$51, H24 - $H$51, I24 - $I$51, J24 - $J$51, K24 - $K$51))</f>
        <v>2.4275025829417776</v>
      </c>
    </row>
    <row r="25" spans="1:12" x14ac:dyDescent="0.45">
      <c r="A25">
        <v>18</v>
      </c>
      <c r="B25">
        <v>1084718.4222027999</v>
      </c>
      <c r="C25">
        <v>53.371258688973398</v>
      </c>
      <c r="D25">
        <v>3.4378098534866099</v>
      </c>
      <c r="E25">
        <v>135.09260761821201</v>
      </c>
      <c r="F25">
        <v>8.8383006849488996</v>
      </c>
      <c r="G25">
        <f>(B25-$B$49)/$B$50</f>
        <v>6.9066465514877939E-2</v>
      </c>
      <c r="H25">
        <f>(C25-$C$49)/$C$50</f>
        <v>-0.74408926192689051</v>
      </c>
      <c r="I25">
        <f>(D25-$D$49)/$D$50</f>
        <v>0.53564974482380945</v>
      </c>
      <c r="J25">
        <f>(E25-$E$49)/$E$50</f>
        <v>-0.91996459091501726</v>
      </c>
      <c r="K25">
        <f>(F25-$F$49)/$F$50</f>
        <v>0.46932897461272638</v>
      </c>
      <c r="L25">
        <f>SQRT(SUMSQ(G25 - $G$51, H25 - $H$51, I25 - $I$51, J25 - $J$51, K25 - $K$51))</f>
        <v>2.4601360913408206</v>
      </c>
    </row>
    <row r="26" spans="1:12" x14ac:dyDescent="0.45">
      <c r="A26">
        <v>20</v>
      </c>
      <c r="B26">
        <v>2107676.8723776201</v>
      </c>
      <c r="C26">
        <v>55.451398636077698</v>
      </c>
      <c r="D26">
        <v>3.4164397141612199</v>
      </c>
      <c r="E26">
        <v>209.038130753524</v>
      </c>
      <c r="F26">
        <v>7.3714126373504403</v>
      </c>
      <c r="G26">
        <f>(B26-$B$49)/$B$50</f>
        <v>1.9404702125126301</v>
      </c>
      <c r="H26">
        <f>(C26-$C$49)/$C$50</f>
        <v>-0.53184315289908168</v>
      </c>
      <c r="I26">
        <f>(D26-$D$49)/$D$50</f>
        <v>0.39230725058986865</v>
      </c>
      <c r="J26">
        <f>(E26-$E$49)/$E$50</f>
        <v>0.94452209480921223</v>
      </c>
      <c r="K26">
        <f>(F26-$F$49)/$F$50</f>
        <v>-0.35108966313115975</v>
      </c>
      <c r="L26">
        <f>SQRT(SUMSQ(G26 - $G$51, H26 - $H$51, I26 - $I$51, J26 - $J$51, K26 - $K$51))</f>
        <v>2.4626962164289834</v>
      </c>
    </row>
    <row r="27" spans="1:12" x14ac:dyDescent="0.45">
      <c r="A27">
        <v>25</v>
      </c>
      <c r="B27">
        <v>706721.53234265698</v>
      </c>
      <c r="C27">
        <v>52.138391414722399</v>
      </c>
      <c r="D27">
        <v>3.4164397141612199</v>
      </c>
      <c r="E27">
        <v>209.038130753524</v>
      </c>
      <c r="F27">
        <v>7.3714126373504403</v>
      </c>
      <c r="G27">
        <f>(B27-$B$49)/$B$50</f>
        <v>-0.62244235961568184</v>
      </c>
      <c r="H27">
        <f>(C27-$C$49)/$C$50</f>
        <v>-0.86988429906934805</v>
      </c>
      <c r="I27">
        <f>(D27-$D$49)/$D$50</f>
        <v>0.39230725058986865</v>
      </c>
      <c r="J27">
        <f>(E27-$E$49)/$E$50</f>
        <v>0.94452209480921223</v>
      </c>
      <c r="K27">
        <f>(F27-$F$49)/$F$50</f>
        <v>-0.35108966313115975</v>
      </c>
      <c r="L27">
        <f>SQRT(SUMSQ(G27 - $G$51, H27 - $H$51, I27 - $I$51, J27 - $J$51, K27 - $K$51))</f>
        <v>2.5297665739667239</v>
      </c>
    </row>
    <row r="28" spans="1:12" x14ac:dyDescent="0.45">
      <c r="A28">
        <v>27</v>
      </c>
      <c r="B28">
        <v>1775216.20104895</v>
      </c>
      <c r="C28">
        <v>57.311118946208801</v>
      </c>
      <c r="D28">
        <v>3.5782937003182398</v>
      </c>
      <c r="E28">
        <v>139.011283821159</v>
      </c>
      <c r="F28">
        <v>8.0017985748730105</v>
      </c>
      <c r="G28">
        <f>(B28-$B$49)/$B$50</f>
        <v>1.3322655039562514</v>
      </c>
      <c r="H28">
        <f>(C28-$C$49)/$C$50</f>
        <v>-0.34208745869456825</v>
      </c>
      <c r="I28">
        <f>(D28-$D$49)/$D$50</f>
        <v>1.4779601667544453</v>
      </c>
      <c r="J28">
        <f>(E28-$E$49)/$E$50</f>
        <v>-0.82115780321146303</v>
      </c>
      <c r="K28">
        <f>(F28-$F$49)/$F$50</f>
        <v>1.48010043183349E-3</v>
      </c>
      <c r="L28">
        <f>SQRT(SUMSQ(G28 - $G$51, H28 - $H$51, I28 - $I$51, J28 - $J$51, K28 - $K$51))</f>
        <v>2.5439838571807822</v>
      </c>
    </row>
    <row r="29" spans="1:12" x14ac:dyDescent="0.45">
      <c r="A29">
        <v>43</v>
      </c>
      <c r="B29">
        <v>633324.72180944099</v>
      </c>
      <c r="C29">
        <v>68.877692215926203</v>
      </c>
      <c r="D29">
        <v>3.2196993027533698</v>
      </c>
      <c r="E29">
        <v>207.73516280167601</v>
      </c>
      <c r="F29">
        <v>9.93480414944095</v>
      </c>
      <c r="G29">
        <f>(B29-$B$49)/$B$50</f>
        <v>-0.75671474010784257</v>
      </c>
      <c r="H29">
        <f>(C29-$C$49)/$C$50</f>
        <v>0.8381024485758799</v>
      </c>
      <c r="I29">
        <f>(D29-$D$49)/$D$50</f>
        <v>-0.92735009269692958</v>
      </c>
      <c r="J29">
        <f>(E29-$E$49)/$E$50</f>
        <v>0.91166863329944003</v>
      </c>
      <c r="K29">
        <f>(F29-$F$49)/$F$50</f>
        <v>1.0825945064253291</v>
      </c>
      <c r="L29">
        <f>SQRT(SUMSQ(G29 - $G$51, H29 - $H$51, I29 - $I$51, J29 - $J$51, K29 - $K$51))</f>
        <v>2.5888639229848418</v>
      </c>
    </row>
    <row r="30" spans="1:12" x14ac:dyDescent="0.45">
      <c r="A30">
        <v>42</v>
      </c>
      <c r="B30">
        <v>556403.86254370597</v>
      </c>
      <c r="C30">
        <v>72.241188769573895</v>
      </c>
      <c r="D30">
        <v>3.5759230743754999</v>
      </c>
      <c r="E30">
        <v>128.679669466886</v>
      </c>
      <c r="F30">
        <v>8.3629652136689305</v>
      </c>
      <c r="G30">
        <f>(B30-$B$49)/$B$50</f>
        <v>-0.89743402760928781</v>
      </c>
      <c r="H30">
        <f>(C30-$C$49)/$C$50</f>
        <v>1.18129525021115</v>
      </c>
      <c r="I30">
        <f>(D30-$D$49)/$D$50</f>
        <v>1.4620589397968706</v>
      </c>
      <c r="J30">
        <f>(E30-$E$49)/$E$50</f>
        <v>-1.0816625178826937</v>
      </c>
      <c r="K30">
        <f>(F30-$F$49)/$F$50</f>
        <v>0.20347768455871509</v>
      </c>
      <c r="L30">
        <f>SQRT(SUMSQ(G30 - $G$51, H30 - $H$51, I30 - $I$51, J30 - $J$51, K30 - $K$51))</f>
        <v>2.5920568109227942</v>
      </c>
    </row>
    <row r="31" spans="1:12" x14ac:dyDescent="0.45">
      <c r="A31">
        <v>34</v>
      </c>
      <c r="B31">
        <v>966781.55856643396</v>
      </c>
      <c r="C31">
        <v>58.495874324878599</v>
      </c>
      <c r="D31">
        <v>3.21697202762524</v>
      </c>
      <c r="E31">
        <v>128.679669466886</v>
      </c>
      <c r="F31">
        <v>9.93480414944095</v>
      </c>
      <c r="G31">
        <f>(B31-$B$49)/$B$50</f>
        <v>-0.1466876430518386</v>
      </c>
      <c r="H31">
        <f>(C31-$C$49)/$C$50</f>
        <v>-0.22120149637146472</v>
      </c>
      <c r="I31">
        <f>(D31-$D$49)/$D$50</f>
        <v>-0.94564358219532696</v>
      </c>
      <c r="J31">
        <f>(E31-$E$49)/$E$50</f>
        <v>-1.0816625178826937</v>
      </c>
      <c r="K31">
        <f>(F31-$F$49)/$F$50</f>
        <v>1.0825945064253291</v>
      </c>
      <c r="L31">
        <f>SQRT(SUMSQ(G31 - $G$51, H31 - $H$51, I31 - $I$51, J31 - $J$51, K31 - $K$51))</f>
        <v>2.640709323027346</v>
      </c>
    </row>
    <row r="32" spans="1:12" x14ac:dyDescent="0.45">
      <c r="A32">
        <v>23</v>
      </c>
      <c r="B32">
        <v>1389864.45847902</v>
      </c>
      <c r="C32">
        <v>48.805105022617198</v>
      </c>
      <c r="D32">
        <v>3.4378098534866099</v>
      </c>
      <c r="E32">
        <v>135.09260761821201</v>
      </c>
      <c r="F32">
        <v>4.7960140721781297</v>
      </c>
      <c r="G32">
        <f>(B32-$B$49)/$B$50</f>
        <v>0.62730168569536482</v>
      </c>
      <c r="H32">
        <f>(C32-$C$49)/$C$50</f>
        <v>-1.2099946209659729</v>
      </c>
      <c r="I32">
        <f>(D32-$D$49)/$D$50</f>
        <v>0.53564974482380945</v>
      </c>
      <c r="J32">
        <f>(E32-$E$49)/$E$50</f>
        <v>-0.91996459091501726</v>
      </c>
      <c r="K32">
        <f>(F32-$F$49)/$F$50</f>
        <v>-1.7914892805016907</v>
      </c>
      <c r="L32">
        <f>SQRT(SUMSQ(G32 - $G$51, H32 - $H$51, I32 - $I$51, J32 - $J$51, K32 - $K$51))</f>
        <v>2.6639923826172898</v>
      </c>
    </row>
    <row r="33" spans="1:12" x14ac:dyDescent="0.45">
      <c r="A33">
        <v>24</v>
      </c>
      <c r="B33">
        <v>1356755.3942307699</v>
      </c>
      <c r="C33">
        <v>54.029999752978398</v>
      </c>
      <c r="D33">
        <v>3.5782937003182398</v>
      </c>
      <c r="E33">
        <v>135.09260761821201</v>
      </c>
      <c r="F33">
        <v>8.4470139883614905</v>
      </c>
      <c r="G33">
        <f>(B33-$B$49)/$B$50</f>
        <v>0.56673184839339452</v>
      </c>
      <c r="H33">
        <f>(C33-$C$49)/$C$50</f>
        <v>-0.67687492479225086</v>
      </c>
      <c r="I33">
        <f>(D33-$D$49)/$D$50</f>
        <v>1.4779601667544453</v>
      </c>
      <c r="J33">
        <f>(E33-$E$49)/$E$50</f>
        <v>-0.91996459091501726</v>
      </c>
      <c r="K33">
        <f>(F33-$F$49)/$F$50</f>
        <v>0.25048548542682092</v>
      </c>
      <c r="L33">
        <f>SQRT(SUMSQ(G33 - $G$51, H33 - $H$51, I33 - $I$51, J33 - $J$51, K33 - $K$51))</f>
        <v>2.7217227374676645</v>
      </c>
    </row>
    <row r="34" spans="1:12" x14ac:dyDescent="0.45">
      <c r="A34">
        <v>44</v>
      </c>
      <c r="B34">
        <v>302748.866477273</v>
      </c>
      <c r="C34">
        <v>53.697132817515097</v>
      </c>
      <c r="D34">
        <v>3.2861468575217501</v>
      </c>
      <c r="E34">
        <v>128.679669466886</v>
      </c>
      <c r="F34">
        <v>6.7356224326820602</v>
      </c>
      <c r="G34">
        <f>(B34-$B$49)/$B$50</f>
        <v>-1.3614713597240964</v>
      </c>
      <c r="H34">
        <f>(C34-$C$49)/$C$50</f>
        <v>-0.71083884725547053</v>
      </c>
      <c r="I34">
        <f>(D34-$D$49)/$D$50</f>
        <v>-0.48164601509507765</v>
      </c>
      <c r="J34">
        <f>(E34-$E$49)/$E$50</f>
        <v>-1.0816625178826937</v>
      </c>
      <c r="K34">
        <f>(F34-$F$49)/$F$50</f>
        <v>-0.70668198966140061</v>
      </c>
      <c r="L34">
        <f>SQRT(SUMSQ(G34 - $G$51, H34 - $H$51, I34 - $I$51, J34 - $J$51, K34 - $K$51))</f>
        <v>2.7283216841567244</v>
      </c>
    </row>
    <row r="35" spans="1:12" x14ac:dyDescent="0.45">
      <c r="A35">
        <v>19</v>
      </c>
      <c r="B35">
        <v>1444999.04020979</v>
      </c>
      <c r="C35">
        <v>52.295034888741</v>
      </c>
      <c r="D35">
        <v>3.5782937003182398</v>
      </c>
      <c r="E35">
        <v>135.09260761821201</v>
      </c>
      <c r="F35">
        <v>7.9962518131816296</v>
      </c>
      <c r="G35">
        <f>(B35-$B$49)/$B$50</f>
        <v>0.7281650812931858</v>
      </c>
      <c r="H35">
        <f>(C35-$C$49)/$C$50</f>
        <v>-0.8539012552787949</v>
      </c>
      <c r="I35">
        <f>(D35-$D$49)/$D$50</f>
        <v>1.4779601667544453</v>
      </c>
      <c r="J35">
        <f>(E35-$E$49)/$E$50</f>
        <v>-0.91996459091501726</v>
      </c>
      <c r="K35">
        <f>(F35-$F$49)/$F$50</f>
        <v>-1.6221585838991008E-3</v>
      </c>
      <c r="L35">
        <f>SQRT(SUMSQ(G35 - $G$51, H35 - $H$51, I35 - $I$51, J35 - $J$51, K35 - $K$51))</f>
        <v>2.7594036670771982</v>
      </c>
    </row>
    <row r="36" spans="1:12" x14ac:dyDescent="0.45">
      <c r="A36">
        <v>17</v>
      </c>
      <c r="B36">
        <v>893581.38811188797</v>
      </c>
      <c r="C36">
        <v>46.387202666356004</v>
      </c>
      <c r="D36">
        <v>3.2861468575217501</v>
      </c>
      <c r="E36">
        <v>128.679669466886</v>
      </c>
      <c r="F36">
        <v>6.5494056481581504</v>
      </c>
      <c r="G36">
        <f>(B36-$B$49)/$B$50</f>
        <v>-0.28060028950008964</v>
      </c>
      <c r="H36">
        <f>(C36-$C$49)/$C$50</f>
        <v>-1.4567041598313777</v>
      </c>
      <c r="I36">
        <f>(D36-$D$49)/$D$50</f>
        <v>-0.48164601509507765</v>
      </c>
      <c r="J36">
        <f>(E36-$E$49)/$E$50</f>
        <v>-1.0816625178826937</v>
      </c>
      <c r="K36">
        <f>(F36-$F$49)/$F$50</f>
        <v>-0.81083153327127067</v>
      </c>
      <c r="L36">
        <f>SQRT(SUMSQ(G36 - $G$51, H36 - $H$51, I36 - $I$51, J36 - $J$51, K36 - $K$51))</f>
        <v>2.7726945810615624</v>
      </c>
    </row>
    <row r="37" spans="1:12" x14ac:dyDescent="0.45">
      <c r="A37">
        <v>40</v>
      </c>
      <c r="B37">
        <v>964128.03889860096</v>
      </c>
      <c r="C37">
        <v>47.674545501495601</v>
      </c>
      <c r="D37">
        <v>3.4378098534866099</v>
      </c>
      <c r="E37">
        <v>135.09260761821201</v>
      </c>
      <c r="F37">
        <v>4.7960140721781297</v>
      </c>
      <c r="G37">
        <f>(B37-$B$49)/$B$50</f>
        <v>-0.15154200116214725</v>
      </c>
      <c r="H37">
        <f>(C37-$C$49)/$C$50</f>
        <v>-1.3253507342488502</v>
      </c>
      <c r="I37">
        <f>(D37-$D$49)/$D$50</f>
        <v>0.53564974482380945</v>
      </c>
      <c r="J37">
        <f>(E37-$E$49)/$E$50</f>
        <v>-0.91996459091501726</v>
      </c>
      <c r="K37">
        <f>(F37-$F$49)/$F$50</f>
        <v>-1.7914892805016907</v>
      </c>
      <c r="L37">
        <f>SQRT(SUMSQ(G37 - $G$51, H37 - $H$51, I37 - $I$51, J37 - $J$51, K37 - $K$51))</f>
        <v>2.8334319274183333</v>
      </c>
    </row>
    <row r="38" spans="1:12" x14ac:dyDescent="0.45">
      <c r="A38">
        <v>29</v>
      </c>
      <c r="B38">
        <v>539451.42941433599</v>
      </c>
      <c r="C38">
        <v>54.897132913549498</v>
      </c>
      <c r="D38">
        <v>3.4378098534866099</v>
      </c>
      <c r="E38">
        <v>135.09260761821201</v>
      </c>
      <c r="F38">
        <v>9.8063846067948806</v>
      </c>
      <c r="G38">
        <f>(B38-$B$49)/$B$50</f>
        <v>-0.92844686774332263</v>
      </c>
      <c r="H38">
        <f>(C38-$C$49)/$C$50</f>
        <v>-0.5883973973083878</v>
      </c>
      <c r="I38">
        <f>(D38-$D$49)/$D$50</f>
        <v>0.53564974482380945</v>
      </c>
      <c r="J38">
        <f>(E38-$E$49)/$E$50</f>
        <v>-0.91996459091501726</v>
      </c>
      <c r="K38">
        <f>(F38-$F$49)/$F$50</f>
        <v>1.0107704934000206</v>
      </c>
      <c r="L38">
        <f>SQRT(SUMSQ(G38 - $G$51, H38 - $H$51, I38 - $I$51, J38 - $J$51, K38 - $K$51))</f>
        <v>3.0092987560100597</v>
      </c>
    </row>
    <row r="39" spans="1:12" x14ac:dyDescent="0.45">
      <c r="A39">
        <v>33</v>
      </c>
      <c r="B39">
        <v>259861.69121503501</v>
      </c>
      <c r="C39">
        <v>76.728181638917704</v>
      </c>
      <c r="D39">
        <v>3.5759230743754999</v>
      </c>
      <c r="E39">
        <v>128.679669466886</v>
      </c>
      <c r="F39">
        <v>8.5331539474167197</v>
      </c>
      <c r="G39">
        <f>(B39-$B$49)/$B$50</f>
        <v>-1.4399293073271346</v>
      </c>
      <c r="H39">
        <f>(C39-$C$49)/$C$50</f>
        <v>1.6391234742589982</v>
      </c>
      <c r="I39">
        <f>(D39-$D$49)/$D$50</f>
        <v>1.4620589397968706</v>
      </c>
      <c r="J39">
        <f>(E39-$E$49)/$E$50</f>
        <v>-1.0816625178826937</v>
      </c>
      <c r="K39">
        <f>(F39-$F$49)/$F$50</f>
        <v>0.29866286881957893</v>
      </c>
      <c r="L39">
        <f>SQRT(SUMSQ(G39 - $G$51, H39 - $H$51, I39 - $I$51, J39 - $J$51, K39 - $K$51))</f>
        <v>3.0174435952429968</v>
      </c>
    </row>
    <row r="40" spans="1:12" x14ac:dyDescent="0.45">
      <c r="A40">
        <v>15</v>
      </c>
      <c r="B40">
        <v>623312.47508741298</v>
      </c>
      <c r="C40">
        <v>51.833846045540803</v>
      </c>
      <c r="D40">
        <v>3.5782937003182398</v>
      </c>
      <c r="E40">
        <v>135.09260761821201</v>
      </c>
      <c r="F40">
        <v>7.9962518131816296</v>
      </c>
      <c r="G40">
        <f>(B40-$B$49)/$B$50</f>
        <v>-0.77503117908761454</v>
      </c>
      <c r="H40">
        <f>(C40-$C$49)/$C$50</f>
        <v>-0.90095844373024581</v>
      </c>
      <c r="I40">
        <f>(D40-$D$49)/$D$50</f>
        <v>1.4779601667544453</v>
      </c>
      <c r="J40">
        <f>(E40-$E$49)/$E$50</f>
        <v>-0.91996459091501726</v>
      </c>
      <c r="K40">
        <f>(F40-$F$49)/$F$50</f>
        <v>-1.6221585838991008E-3</v>
      </c>
      <c r="L40">
        <f>SQRT(SUMSQ(G40 - $G$51, H40 - $H$51, I40 - $I$51, J40 - $J$51, K40 - $K$51))</f>
        <v>3.060171064118498</v>
      </c>
    </row>
    <row r="41" spans="1:12" x14ac:dyDescent="0.45">
      <c r="A41">
        <v>26</v>
      </c>
      <c r="B41">
        <v>1002911.84309441</v>
      </c>
      <c r="C41">
        <v>43.658251895771201</v>
      </c>
      <c r="D41">
        <v>3.4378098534866099</v>
      </c>
      <c r="E41">
        <v>135.09260761821201</v>
      </c>
      <c r="F41">
        <v>7.8720699423676601</v>
      </c>
      <c r="G41">
        <f>(B41-$B$49)/$B$50</f>
        <v>-8.0590774861156705E-2</v>
      </c>
      <c r="H41">
        <f>(C41-$C$49)/$C$50</f>
        <v>-1.7351513785347945</v>
      </c>
      <c r="I41">
        <f>(D41-$D$49)/$D$50</f>
        <v>0.53564974482380945</v>
      </c>
      <c r="J41">
        <f>(E41-$E$49)/$E$50</f>
        <v>-0.91996459091501726</v>
      </c>
      <c r="K41">
        <f>(F41-$F$49)/$F$50</f>
        <v>-7.1076075978945372E-2</v>
      </c>
      <c r="L41">
        <f>SQRT(SUMSQ(G41 - $G$51, H41 - $H$51, I41 - $I$51, J41 - $J$51, K41 - $K$51))</f>
        <v>3.0924086527783947</v>
      </c>
    </row>
    <row r="42" spans="1:12" x14ac:dyDescent="0.45">
      <c r="A42">
        <v>16</v>
      </c>
      <c r="B42">
        <v>519247.72880244802</v>
      </c>
      <c r="C42">
        <v>45.030069984756103</v>
      </c>
      <c r="D42">
        <v>3.2415594404394001</v>
      </c>
      <c r="E42">
        <v>193.66424336466801</v>
      </c>
      <c r="F42">
        <v>6.4779930181436596</v>
      </c>
      <c r="G42">
        <f>(B42-$B$49)/$B$50</f>
        <v>-0.96540758791905068</v>
      </c>
      <c r="H42">
        <f>(C42-$C$49)/$C$50</f>
        <v>-1.5951785598375097</v>
      </c>
      <c r="I42">
        <f>(D42-$D$49)/$D$50</f>
        <v>-0.78072088207264323</v>
      </c>
      <c r="J42">
        <f>(E42-$E$49)/$E$50</f>
        <v>0.55687985321071831</v>
      </c>
      <c r="K42">
        <f>(F42-$F$49)/$F$50</f>
        <v>-0.85077204047638122</v>
      </c>
      <c r="L42">
        <f>SQRT(SUMSQ(G42 - $G$51, H42 - $H$51, I42 - $I$51, J42 - $J$51, K42 - $K$51))</f>
        <v>3.1070366654892436</v>
      </c>
    </row>
    <row r="43" spans="1:12" x14ac:dyDescent="0.45">
      <c r="A43">
        <v>7</v>
      </c>
      <c r="B43">
        <v>570617.307036713</v>
      </c>
      <c r="C43">
        <v>39.720279796973799</v>
      </c>
      <c r="D43">
        <v>3.2415594404394001</v>
      </c>
      <c r="E43">
        <v>193.66424336466801</v>
      </c>
      <c r="F43">
        <v>8.5857342573312607</v>
      </c>
      <c r="G43">
        <f>(B43-$B$49)/$B$50</f>
        <v>-0.87143190281388461</v>
      </c>
      <c r="H43">
        <f>(C43-$C$49)/$C$50</f>
        <v>-2.1369605244018026</v>
      </c>
      <c r="I43">
        <f>(D43-$D$49)/$D$50</f>
        <v>-0.78072088207264323</v>
      </c>
      <c r="J43">
        <f>(E43-$E$49)/$E$50</f>
        <v>0.55687985321071831</v>
      </c>
      <c r="K43">
        <f>(F43-$F$49)/$F$50</f>
        <v>0.32807061149146377</v>
      </c>
      <c r="L43">
        <f>SQRT(SUMSQ(G43 - $G$51, H43 - $H$51, I43 - $I$51, J43 - $J$51, K43 - $K$51))</f>
        <v>3.7098002620964694</v>
      </c>
    </row>
    <row r="44" spans="1:12" x14ac:dyDescent="0.45">
      <c r="A44">
        <v>28</v>
      </c>
      <c r="B44">
        <v>1323522.24562937</v>
      </c>
      <c r="C44">
        <v>70.262797162249399</v>
      </c>
      <c r="D44">
        <v>3.6064195732970301</v>
      </c>
      <c r="E44">
        <v>128.679669466886</v>
      </c>
      <c r="F44">
        <v>13.116482581292001</v>
      </c>
      <c r="G44">
        <f>(B44-$B$49)/$B$50</f>
        <v>0.50593501074415814</v>
      </c>
      <c r="H44">
        <f>(C44-$C$49)/$C$50</f>
        <v>0.97943098556278563</v>
      </c>
      <c r="I44">
        <f>(D44-$D$49)/$D$50</f>
        <v>1.6666174667326814</v>
      </c>
      <c r="J44">
        <f>(E44-$E$49)/$E$50</f>
        <v>-1.0816625178826937</v>
      </c>
      <c r="K44">
        <f>(F44-$F$49)/$F$50</f>
        <v>2.8620815566278672</v>
      </c>
      <c r="L44">
        <f>SQRT(SUMSQ(G44 - $G$51, H44 - $H$51, I44 - $I$51, J44 - $J$51, K44 - $K$51))</f>
        <v>4.2260172387519619</v>
      </c>
    </row>
    <row r="45" spans="1:12" x14ac:dyDescent="0.45">
      <c r="A45">
        <v>12</v>
      </c>
      <c r="B45">
        <v>1009001.6118881101</v>
      </c>
      <c r="C45">
        <v>70.262797162249399</v>
      </c>
      <c r="D45">
        <v>3.6064195732970301</v>
      </c>
      <c r="E45">
        <v>128.679669466886</v>
      </c>
      <c r="F45">
        <v>13.116482581292001</v>
      </c>
      <c r="G45">
        <f>(B45-$B$49)/$B$50</f>
        <v>-6.9450130647374014E-2</v>
      </c>
      <c r="H45">
        <f>(C45-$C$49)/$C$50</f>
        <v>0.97943098556278563</v>
      </c>
      <c r="I45">
        <f>(D45-$D$49)/$D$50</f>
        <v>1.6666174667326814</v>
      </c>
      <c r="J45">
        <f>(E45-$E$49)/$E$50</f>
        <v>-1.0816625178826937</v>
      </c>
      <c r="K45">
        <f>(F45-$F$49)/$F$50</f>
        <v>2.8620815566278672</v>
      </c>
      <c r="L45">
        <f>SQRT(SUMSQ(G45 - $G$51, H45 - $H$51, I45 - $I$51, J45 - $J$51, K45 - $K$51))</f>
        <v>4.2642068347080135</v>
      </c>
    </row>
    <row r="46" spans="1:12" x14ac:dyDescent="0.45">
      <c r="A46">
        <v>38</v>
      </c>
      <c r="B46">
        <v>385731.65275349602</v>
      </c>
      <c r="C46">
        <v>70.262797162249399</v>
      </c>
      <c r="D46">
        <v>3.6064195732970301</v>
      </c>
      <c r="E46">
        <v>128.679669466886</v>
      </c>
      <c r="F46">
        <v>13.116482581292001</v>
      </c>
      <c r="G46">
        <f>(B46-$B$49)/$B$50</f>
        <v>-1.2096623618639208</v>
      </c>
      <c r="H46">
        <f>(C46-$C$49)/$C$50</f>
        <v>0.97943098556278563</v>
      </c>
      <c r="I46">
        <f>(D46-$D$49)/$D$50</f>
        <v>1.6666174667326814</v>
      </c>
      <c r="J46">
        <f>(E46-$E$49)/$E$50</f>
        <v>-1.0816625178826937</v>
      </c>
      <c r="K46">
        <f>(F46-$F$49)/$F$50</f>
        <v>2.8620815566278672</v>
      </c>
      <c r="L46">
        <f>SQRT(SUMSQ(G46 - $G$51, H46 - $H$51, I46 - $I$51, J46 - $J$51, K46 - $K$51))</f>
        <v>4.5587423561164702</v>
      </c>
    </row>
    <row r="49" spans="1:11" x14ac:dyDescent="0.45">
      <c r="A49" t="s">
        <v>2</v>
      </c>
      <c r="B49">
        <f>AVERAGE(B2:B46)</f>
        <v>1046964.8777656374</v>
      </c>
      <c r="C49">
        <f>AVERAGE(C2:C46)</f>
        <v>60.663782472025098</v>
      </c>
      <c r="D49">
        <f>AVERAGE(D2:D46)</f>
        <v>3.3579527968777541</v>
      </c>
      <c r="E49">
        <f>AVERAGE(E2:E46)</f>
        <v>171.57839400759036</v>
      </c>
      <c r="F49">
        <f>AVERAGE(F2:F46)</f>
        <v>7.9991521922424642</v>
      </c>
    </row>
    <row r="50" spans="1:11" x14ac:dyDescent="0.45">
      <c r="A50" t="s">
        <v>1</v>
      </c>
      <c r="B50">
        <f>_xlfn.STDEV.S(B2:B46)</f>
        <v>546626.27015465137</v>
      </c>
      <c r="C50">
        <f>_xlfn.STDEV.S(C2:C46)</f>
        <v>9.8006034439564544</v>
      </c>
      <c r="D50">
        <f>_xlfn.STDEV.S(D2:D46)</f>
        <v>0.14908446681912108</v>
      </c>
      <c r="E50">
        <f>_xlfn.STDEV.S(E2:E46)</f>
        <v>39.65998990579493</v>
      </c>
      <c r="F50">
        <f>_xlfn.STDEV.S(F2:F46)</f>
        <v>1.7879750411720712</v>
      </c>
    </row>
    <row r="51" spans="1:11" x14ac:dyDescent="0.45">
      <c r="A51" t="s">
        <v>0</v>
      </c>
      <c r="B51" s="1"/>
      <c r="C51" s="1"/>
      <c r="D51" s="1"/>
      <c r="E51" s="1"/>
      <c r="F51" s="1"/>
      <c r="G51" s="1">
        <v>0.5</v>
      </c>
      <c r="H51" s="1">
        <v>1</v>
      </c>
      <c r="I51" s="1">
        <v>-0.2</v>
      </c>
      <c r="J51" s="1">
        <v>-0.1</v>
      </c>
      <c r="K51" s="1">
        <v>-0.8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Farhaz Ahammed Kolathoor</dc:creator>
  <cp:lastModifiedBy>Farhaz Ahammed Kolathoor</cp:lastModifiedBy>
  <dcterms:created xsi:type="dcterms:W3CDTF">2025-12-11T08:39:18Z</dcterms:created>
  <dcterms:modified xsi:type="dcterms:W3CDTF">2025-12-11T08:39:33Z</dcterms:modified>
</cp:coreProperties>
</file>